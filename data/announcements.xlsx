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고목록" sheetId="1" state="visible" r:id="rId1"/>
    <sheet xmlns:r="http://schemas.openxmlformats.org/officeDocument/2006/relationships" name="기관목록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'공고목록'!$A$1:$M$44</definedName>
    <definedName name="_xlnm._FilterDatabase" localSheetId="1" hidden="1">'기관목록'!$A$1:$H$39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0563C1"/>
      <sz val="10"/>
      <u val="single"/>
    </font>
    <font>
      <name val="맑은 고딕"/>
      <b val="1"/>
      <sz val="12"/>
    </font>
    <font>
      <name val="맑은 고딕"/>
      <b val="1"/>
      <sz val="10"/>
    </font>
    <font>
      <name val="맑은 고딕"/>
      <b val="1"/>
      <color rgb="00595959"/>
      <sz val="9"/>
    </font>
    <font>
      <name val="맑은 고딕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ks.ac.kr/eprofappl/eprofappl/index.jsp" TargetMode="External" Id="rId1"/><Relationship Type="http://schemas.openxmlformats.org/officeDocument/2006/relationships/hyperlink" Target="https://cms1.ks.ac.kr/kscec/bbs/list.do?mId=0208000000&amp;ptIdx=201" TargetMode="External" Id="rId2"/><Relationship Type="http://schemas.openxmlformats.org/officeDocument/2006/relationships/hyperlink" Target="https://kosinedu.com/sub04_1/776" TargetMode="External" Id="rId3"/><Relationship Type="http://schemas.openxmlformats.org/officeDocument/2006/relationships/hyperlink" Target="https://kosinedu.com/sub04_1/2021" TargetMode="External" Id="rId4"/><Relationship Type="http://schemas.openxmlformats.org/officeDocument/2006/relationships/hyperlink" Target="https://ee.pknu.ac.kr/ee/1669?action=view&amp;no=9934849" TargetMode="External" Id="rId5"/><Relationship Type="http://schemas.openxmlformats.org/officeDocument/2006/relationships/hyperlink" Target="http://ps.pknu.ac.kr/" TargetMode="External" Id="rId6"/><Relationship Type="http://schemas.openxmlformats.org/officeDocument/2006/relationships/hyperlink" Target="https://kcue.or.kr/notice/sub04.php?pagenumber=1&amp;at=view&amp;idx=657599" TargetMode="External" Id="rId7"/><Relationship Type="http://schemas.openxmlformats.org/officeDocument/2006/relationships/hyperlink" Target="https://www.pknu.ac.kr/main/163?action=view&amp;no=723314" TargetMode="External" Id="rId8"/><Relationship Type="http://schemas.openxmlformats.org/officeDocument/2006/relationships/hyperlink" Target="https://www.kmou.ac.kr/kmou/na/ntt/selectNttInfo.do?nttSn=10369063&amp;mi=2035" TargetMode="External" Id="rId9"/><Relationship Type="http://schemas.openxmlformats.org/officeDocument/2006/relationships/hyperlink" Target="https://donga-edu.donga.ac.kr/community_notice/read.aspx?no=10288&amp;board_code=site9100" TargetMode="External" Id="rId10"/><Relationship Type="http://schemas.openxmlformats.org/officeDocument/2006/relationships/hyperlink" Target="https://www.jinhakpro.com/recruit/37049" TargetMode="External" Id="rId11"/><Relationship Type="http://schemas.openxmlformats.org/officeDocument/2006/relationships/hyperlink" Target="https://m.dit.ac.kr/kr/?idx=17100&amp;mode=view&amp;pCode=notice" TargetMode="External" Id="rId12"/><Relationship Type="http://schemas.openxmlformats.org/officeDocument/2006/relationships/hyperlink" Target="https://lifelong.deu.ac.kr/Board/BoardView.aspx?CategoryNo=5&amp;PageNo=1&amp;KeyWord=&amp;KeyField=TITLE&amp;CategoryYN=Y&amp;BoardNo=190984&amp;BoardMstNo=1&amp;MENU_ID=141&amp;Secret=&amp;Secret_YN=N" TargetMode="External" Id="rId13"/><Relationship Type="http://schemas.openxmlformats.org/officeDocument/2006/relationships/hyperlink" Target="https://edu.cup.ac.kr/" TargetMode="External" Id="rId14"/><Relationship Type="http://schemas.openxmlformats.org/officeDocument/2006/relationships/hyperlink" Target="https://www.kcue.or.kr/notice/sub04.php?pagenumber=1&amp;at=view&amp;idx=657669" TargetMode="External" Id="rId15"/><Relationship Type="http://schemas.openxmlformats.org/officeDocument/2006/relationships/hyperlink" Target="https://d-sce.pusan.ac.kr/kor/CMS/Board/Board.do?mCode=MN052" TargetMode="External" Id="rId16"/><Relationship Type="http://schemas.openxmlformats.org/officeDocument/2006/relationships/hyperlink" Target="https://life.bhu.ac.kr/" TargetMode="External" Id="rId17"/><Relationship Type="http://schemas.openxmlformats.org/officeDocument/2006/relationships/hyperlink" Target="https://www.jinhakpro.com/recruit/22963" TargetMode="External" Id="rId18"/><Relationship Type="http://schemas.openxmlformats.org/officeDocument/2006/relationships/hyperlink" Target="https://pia-edu.com/notice/?bmode=view&amp;idx=161131935" TargetMode="External" Id="rId19"/><Relationship Type="http://schemas.openxmlformats.org/officeDocument/2006/relationships/hyperlink" Target="https://pia-edu.com/notice/?bmode=view&amp;idx=168278318" TargetMode="External" Id="rId20"/><Relationship Type="http://schemas.openxmlformats.org/officeDocument/2006/relationships/hyperlink" Target="https://pia-edu.com/notice/?q=YToxOntzOjEyOiJrZXl3b3JkX3R5cGUiO3M6MzoiYWxsIjt9&amp;bmode=view&amp;idx=169560243&amp;t=board" TargetMode="External" Id="rId21"/><Relationship Type="http://schemas.openxmlformats.org/officeDocument/2006/relationships/hyperlink" Target="https://pia-edu.com/notice/?q=YToxOntzOjEyOiJrZXl3b3JkX3R5cGUiO3M6MzoiYWxsIjt9&amp;bmode=view&amp;idx=171246486&amp;t=board" TargetMode="External" Id="rId22"/><Relationship Type="http://schemas.openxmlformats.org/officeDocument/2006/relationships/hyperlink" Target="https://lec.bufs.ac.kr/lec/index.php?pCode=MN000017&amp;mode=view&amp;idx=66631" TargetMode="External" Id="rId23"/><Relationship Type="http://schemas.openxmlformats.org/officeDocument/2006/relationships/hyperlink" Target="https://soc.silla.ac.kr/Home/Sub04/NoticeBoard01.aspx?id=1116" TargetMode="External" Id="rId24"/><Relationship Type="http://schemas.openxmlformats.org/officeDocument/2006/relationships/hyperlink" Target="https://ysedu.ysu.ac.kr/board/notice_edu/list.asp" TargetMode="External" Id="rId25"/><Relationship Type="http://schemas.openxmlformats.org/officeDocument/2006/relationships/hyperlink" Target="https://www.jinhakpro.com/recruit/45759" TargetMode="External" Id="rId26"/><Relationship Type="http://schemas.openxmlformats.org/officeDocument/2006/relationships/hyperlink" Target="https://edu.uc.ac.kr/edu/CMS/Board/Board.do?mCode=MN080" TargetMode="External" Id="rId27"/><Relationship Type="http://schemas.openxmlformats.org/officeDocument/2006/relationships/hyperlink" Target="https://www.uc.ac.kr/edu/" TargetMode="External" Id="rId28"/><Relationship Type="http://schemas.openxmlformats.org/officeDocument/2006/relationships/hyperlink" Target="https://cec.ulsan.ac.kr/cec/3978?action=view&amp;no=272609" TargetMode="External" Id="rId29"/><Relationship Type="http://schemas.openxmlformats.org/officeDocument/2006/relationships/hyperlink" Target="https://cec.ulsan.ac.kr/cec/3978?action=view&amp;no=270342" TargetMode="External" Id="rId30"/><Relationship Type="http://schemas.openxmlformats.org/officeDocument/2006/relationships/hyperlink" Target="https://cec.ulsan.ac.kr/cec/3978?action=view&amp;no=280249" TargetMode="External" Id="rId31"/><Relationship Type="http://schemas.openxmlformats.org/officeDocument/2006/relationships/hyperlink" Target="https://life.kaya.ac.kr/pages/applicant/application.jsp" TargetMode="External" Id="rId32"/><Relationship Type="http://schemas.openxmlformats.org/officeDocument/2006/relationships/hyperlink" Target="https://www.kyungnam.ac.kr/cce/3489/subview.do?enc=Zm5jdDF8QEB8JTJGYmJzJTJGY2NlJTJGMjQxJTJGMTgxMzkxJTJGYXJ0Y2xWaWV3LmRvJTNG" TargetMode="External" Id="rId33"/><Relationship Type="http://schemas.openxmlformats.org/officeDocument/2006/relationships/hyperlink" Target="https://www.kyungnam.ac.kr/cce/14630/subview.do" TargetMode="External" Id="rId34"/><Relationship Type="http://schemas.openxmlformats.org/officeDocument/2006/relationships/hyperlink" Target="https://longlife.gnu.ac.kr/sub.jsp?sID=0201" TargetMode="External" Id="rId35"/><Relationship Type="http://schemas.openxmlformats.org/officeDocument/2006/relationships/hyperlink" Target="https://www.changwon.ac.kr/lifelong/na/ntt/selectNttList.do?mi=4771&amp;bbsId=1786" TargetMode="External" Id="rId36"/><Relationship Type="http://schemas.openxmlformats.org/officeDocument/2006/relationships/hyperlink" Target="https://www.changwon.ac.kr/lifelong/na/ntt/selectNttList.do?mi=4774&amp;bbsId=1787" TargetMode="External" Id="rId37"/><Relationship Type="http://schemas.openxmlformats.org/officeDocument/2006/relationships/hyperlink" Target="https://lifelong.masan.ac.kr/lectopen" TargetMode="External" Id="rId38"/><Relationship Type="http://schemas.openxmlformats.org/officeDocument/2006/relationships/hyperlink" Target="https://lifelong.masan.ac.kr/lectopen/view/2025/20/010/999/13" TargetMode="External" Id="rId39"/><Relationship Type="http://schemas.openxmlformats.org/officeDocument/2006/relationships/hyperlink" Target="https://lifelong.masan.ac.kr/lectopen/view/2026/20/010/999/13" TargetMode="External" Id="rId40"/><Relationship Type="http://schemas.openxmlformats.org/officeDocument/2006/relationships/hyperlink" Target="https://lifelong.masan.ac.kr/main" TargetMode="External" Id="rId41"/><Relationship Type="http://schemas.openxmlformats.org/officeDocument/2006/relationships/hyperlink" Target="https://www.jinhakpro.com/recruit/35038" TargetMode="External" Id="rId42"/><Relationship Type="http://schemas.openxmlformats.org/officeDocument/2006/relationships/hyperlink" Target="https://lifelong.jhc.ac.kr/bbs/board.php?bo_table=sub4_1&amp;wr_id=527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https://cei.kit.ac.kr/cei/" TargetMode="External" Id="rId1"/><Relationship Type="http://schemas.openxmlformats.org/officeDocument/2006/relationships/hyperlink" Target="https://cms1.ks.ac.kr/kscec/Main.do" TargetMode="External" Id="rId2"/><Relationship Type="http://schemas.openxmlformats.org/officeDocument/2006/relationships/hyperlink" Target="https://kosinedu.com/" TargetMode="External" Id="rId3"/><Relationship Type="http://schemas.openxmlformats.org/officeDocument/2006/relationships/hyperlink" Target="http://ps.pknu.ac.kr/" TargetMode="External" Id="rId4"/><Relationship Type="http://schemas.openxmlformats.org/officeDocument/2006/relationships/hyperlink" Target="https://www.kmou.ac.kr/edu/main.do" TargetMode="External" Id="rId5"/><Relationship Type="http://schemas.openxmlformats.org/officeDocument/2006/relationships/hyperlink" Target="https://uni.dongseo.ac.kr/continuing/" TargetMode="External" Id="rId6"/><Relationship Type="http://schemas.openxmlformats.org/officeDocument/2006/relationships/hyperlink" Target="https://donga-edu.donga.ac.kr/" TargetMode="External" Id="rId7"/><Relationship Type="http://schemas.openxmlformats.org/officeDocument/2006/relationships/hyperlink" Target="https://ce.dit.ac.kr/dit/" TargetMode="External" Id="rId8"/><Relationship Type="http://schemas.openxmlformats.org/officeDocument/2006/relationships/hyperlink" Target="https://lifelong.deu.ac.kr/" TargetMode="External" Id="rId9"/><Relationship Type="http://schemas.openxmlformats.org/officeDocument/2006/relationships/hyperlink" Target="https://edu.cup.ac.kr/" TargetMode="External" Id="rId10"/><Relationship Type="http://schemas.openxmlformats.org/officeDocument/2006/relationships/hyperlink" Target="https://www.bsks.ac.kr/" TargetMode="External" Id="rId11"/><Relationship Type="http://schemas.openxmlformats.org/officeDocument/2006/relationships/hyperlink" Target="https://life.bist.ac.kr/" TargetMode="External" Id="rId12"/><Relationship Type="http://schemas.openxmlformats.org/officeDocument/2006/relationships/hyperlink" Target="https://www.bnue.ac.kr/" TargetMode="External" Id="rId13"/><Relationship Type="http://schemas.openxmlformats.org/officeDocument/2006/relationships/hyperlink" Target="https://sce.pusan.ac.kr/" TargetMode="External" Id="rId14"/><Relationship Type="http://schemas.openxmlformats.org/officeDocument/2006/relationships/hyperlink" Target="http://www.bdu.ac.kr/edulife/index.do" TargetMode="External" Id="rId15"/><Relationship Type="http://schemas.openxmlformats.org/officeDocument/2006/relationships/hyperlink" Target="https://life.bhu.ac.kr/" TargetMode="External" Id="rId16"/><Relationship Type="http://schemas.openxmlformats.org/officeDocument/2006/relationships/hyperlink" Target="https://www.bwc.ac.kr/" TargetMode="External" Id="rId17"/><Relationship Type="http://schemas.openxmlformats.org/officeDocument/2006/relationships/hyperlink" Target="https://pia-edu.com/" TargetMode="External" Id="rId18"/><Relationship Type="http://schemas.openxmlformats.org/officeDocument/2006/relationships/hyperlink" Target="https://lec.bufs.ac.kr/" TargetMode="External" Id="rId19"/><Relationship Type="http://schemas.openxmlformats.org/officeDocument/2006/relationships/hyperlink" Target="https://soc.silla.ac.kr/" TargetMode="External" Id="rId20"/><Relationship Type="http://schemas.openxmlformats.org/officeDocument/2006/relationships/hyperlink" Target="https://ysedu.ysu.ac.kr/" TargetMode="External" Id="rId21"/><Relationship Type="http://schemas.openxmlformats.org/officeDocument/2006/relationships/hyperlink" Target="https://www.uc.ac.kr/edu/" TargetMode="External" Id="rId22"/><Relationship Type="http://schemas.openxmlformats.org/officeDocument/2006/relationships/hyperlink" Target="https://cec.ulsan.ac.kr/cec" TargetMode="External" Id="rId23"/><Relationship Type="http://schemas.openxmlformats.org/officeDocument/2006/relationships/hyperlink" Target="https://edu.ch.ac.kr/" TargetMode="External" Id="rId24"/><Relationship Type="http://schemas.openxmlformats.org/officeDocument/2006/relationships/hyperlink" Target="https://life.kaya.ac.kr/" TargetMode="External" Id="rId25"/><Relationship Type="http://schemas.openxmlformats.org/officeDocument/2006/relationships/hyperlink" Target="https://www.koje.ac.kr/" TargetMode="External" Id="rId26"/><Relationship Type="http://schemas.openxmlformats.org/officeDocument/2006/relationships/hyperlink" Target="https://www.kyungnam.ac.kr/sites/cce/index..do" TargetMode="External" Id="rId27"/><Relationship Type="http://schemas.openxmlformats.org/officeDocument/2006/relationships/hyperlink" Target="https://longlife.gnu.ac.kr/" TargetMode="External" Id="rId28"/><Relationship Type="http://schemas.openxmlformats.org/officeDocument/2006/relationships/hyperlink" Target="https://www.changwon.ac.kr/lifelong/main.do" TargetMode="External" Id="rId29"/><Relationship Type="http://schemas.openxmlformats.org/officeDocument/2006/relationships/hyperlink" Target="https://psl.gc.ac.kr/M0101/" TargetMode="External" Id="rId30"/><Relationship Type="http://schemas.openxmlformats.org/officeDocument/2006/relationships/hyperlink" Target="https://www.gimhae.ac.kr/" TargetMode="External" Id="rId31"/><Relationship Type="http://schemas.openxmlformats.org/officeDocument/2006/relationships/hyperlink" Target="https://www.dongwon.ac.kr/" TargetMode="External" Id="rId32"/><Relationship Type="http://schemas.openxmlformats.org/officeDocument/2006/relationships/hyperlink" Target="https://lifelong.masan.ac.kr/main" TargetMode="External" Id="rId33"/><Relationship Type="http://schemas.openxmlformats.org/officeDocument/2006/relationships/hyperlink" Target="https://www.yc.ac.kr/" TargetMode="External" Id="rId34"/><Relationship Type="http://schemas.openxmlformats.org/officeDocument/2006/relationships/hyperlink" Target="https://soc.inje.ac.kr/" TargetMode="External" Id="rId35"/><Relationship Type="http://schemas.openxmlformats.org/officeDocument/2006/relationships/hyperlink" Target="https://lifelong.jhc.ac.kr/" TargetMode="External" Id="rId36"/><Relationship Type="http://schemas.openxmlformats.org/officeDocument/2006/relationships/hyperlink" Target="https://ice.cs.ac.kr/" TargetMode="External" Id="rId37"/><Relationship Type="http://schemas.openxmlformats.org/officeDocument/2006/relationships/hyperlink" Target="https://www.cmu.ac.kr/" TargetMode="External" Id="rId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6" customWidth="1" min="3" max="3"/>
    <col width="18" customWidth="1" min="4" max="4"/>
    <col width="16" customWidth="1" min="5" max="5"/>
    <col width="48" customWidth="1" min="6" max="6"/>
    <col width="11" customWidth="1" min="7" max="7"/>
    <col width="40" customWidth="1" min="8" max="8"/>
    <col width="60" customWidth="1" min="9" max="9"/>
    <col width="14" customWidth="1" min="10" max="10"/>
    <col width="12" customWidth="1" min="11" max="11"/>
    <col width="8" customWidth="1" min="12" max="12"/>
    <col width="11" customWidth="1" min="13" max="13"/>
  </cols>
  <sheetData>
    <row r="1">
      <c r="A1" s="1" t="inlineStr">
        <is>
          <t>번호</t>
        </is>
      </c>
      <c r="B1" s="1" t="inlineStr">
        <is>
          <t>지역</t>
        </is>
      </c>
      <c r="C1" s="1" t="inlineStr">
        <is>
          <t>대학</t>
        </is>
      </c>
      <c r="D1" s="1" t="inlineStr">
        <is>
          <t>기관</t>
        </is>
      </c>
      <c r="E1" s="1" t="inlineStr">
        <is>
          <t>구분</t>
        </is>
      </c>
      <c r="F1" s="1" t="inlineStr">
        <is>
          <t>공고 제목</t>
        </is>
      </c>
      <c r="G1" s="1" t="inlineStr">
        <is>
          <t>게시일</t>
        </is>
      </c>
      <c r="H1" s="1" t="inlineStr">
        <is>
          <t>링크</t>
        </is>
      </c>
      <c r="I1" s="1" t="inlineStr">
        <is>
          <t>요약</t>
        </is>
      </c>
      <c r="J1" s="1" t="inlineStr">
        <is>
          <t>게시판</t>
        </is>
      </c>
      <c r="K1" s="1" t="inlineStr">
        <is>
          <t>출처</t>
        </is>
      </c>
      <c r="L1" s="1" t="inlineStr">
        <is>
          <t>신뢰도</t>
        </is>
      </c>
      <c r="M1" s="1" t="inlineStr">
        <is>
          <t>수집일</t>
        </is>
      </c>
    </row>
    <row r="2">
      <c r="A2" s="2" t="n">
        <v>1</v>
      </c>
      <c r="B2" s="2" t="inlineStr">
        <is>
          <t>부산</t>
        </is>
      </c>
      <c r="C2" s="2" t="inlineStr">
        <is>
          <t>경성대학교</t>
        </is>
      </c>
      <c r="D2" s="2" t="inlineStr">
        <is>
          <t>대학 본부</t>
        </is>
      </c>
      <c r="E2" s="2" t="inlineStr">
        <is>
          <t>일반강사채용(참고)</t>
        </is>
      </c>
      <c r="F2" s="2" t="inlineStr">
        <is>
          <t>2026학년도 2학기 비전임교원(강사·겸임·초빙) 1차 공개채용</t>
        </is>
      </c>
      <c r="G2" s="2" t="inlineStr">
        <is>
          <t>2026</t>
        </is>
      </c>
      <c r="H2" s="3" t="inlineStr">
        <is>
          <t>https://apps.ks.ac.kr/eprofappl/eprofappl/index.jsp</t>
        </is>
      </c>
      <c r="I2" s="2" t="inlineStr">
        <is>
          <t>평생교육원 공고 아님.</t>
        </is>
      </c>
      <c r="J2" s="2" t="inlineStr">
        <is>
          <t>교수초빙시스템</t>
        </is>
      </c>
      <c r="K2" s="2" t="inlineStr">
        <is>
          <t>web_search</t>
        </is>
      </c>
      <c r="L2" s="2" t="inlineStr">
        <is>
          <t>high</t>
        </is>
      </c>
      <c r="M2" s="2" t="inlineStr">
        <is>
          <t>2026-09-21</t>
        </is>
      </c>
    </row>
    <row r="3">
      <c r="A3" s="2" t="n">
        <v>2</v>
      </c>
      <c r="B3" s="2" t="inlineStr">
        <is>
          <t>부산</t>
        </is>
      </c>
      <c r="C3" s="2" t="inlineStr">
        <is>
          <t>경성대학교</t>
        </is>
      </c>
      <c r="D3" s="2" t="inlineStr">
        <is>
          <t>평생교육원</t>
        </is>
      </c>
      <c r="E3" s="2" t="inlineStr">
        <is>
          <t>강좌개설신청</t>
        </is>
      </c>
      <c r="F3" s="2" t="inlineStr">
        <is>
          <t>2026-2학기 평생교육원 신규강좌 모집</t>
        </is>
      </c>
      <c r="G3" s="2" t="inlineStr">
        <is>
          <t>2026-04-23</t>
        </is>
      </c>
      <c r="H3" s="3" t="inlineStr">
        <is>
          <t>https://cms1.ks.ac.kr/kscec/bbs/list.do?mId=0208000000&amp;ptIdx=201</t>
        </is>
      </c>
      <c r="I3" s="2" t="inlineStr"/>
      <c r="J3" s="2" t="inlineStr">
        <is>
          <t>평생교육원 소식</t>
        </is>
      </c>
      <c r="K3" s="2" t="inlineStr">
        <is>
          <t>scraper</t>
        </is>
      </c>
      <c r="L3" s="2" t="inlineStr">
        <is>
          <t>high</t>
        </is>
      </c>
      <c r="M3" s="2" t="inlineStr">
        <is>
          <t>2026-09-21</t>
        </is>
      </c>
    </row>
    <row r="4">
      <c r="A4" s="2" t="n">
        <v>3</v>
      </c>
      <c r="B4" s="2" t="inlineStr">
        <is>
          <t>부산</t>
        </is>
      </c>
      <c r="C4" s="2" t="inlineStr">
        <is>
          <t>고신대학교</t>
        </is>
      </c>
      <c r="D4" s="2" t="inlineStr">
        <is>
          <t>평생교육원</t>
        </is>
      </c>
      <c r="E4" s="2" t="inlineStr">
        <is>
          <t>강사모집</t>
        </is>
      </c>
      <c r="F4" s="2" t="inlineStr">
        <is>
          <t>2022년도 학점은행제 신규 강사모집 안내</t>
        </is>
      </c>
      <c r="G4" s="2" t="inlineStr">
        <is>
          <t>2022</t>
        </is>
      </c>
      <c r="H4" s="3" t="inlineStr">
        <is>
          <t>https://kosinedu.com/sub04_1/776</t>
        </is>
      </c>
      <c r="I4" s="2" t="inlineStr">
        <is>
          <t>과거 공고(형식 참고용).</t>
        </is>
      </c>
      <c r="J4" s="2" t="inlineStr">
        <is>
          <t>공지사항</t>
        </is>
      </c>
      <c r="K4" s="2" t="inlineStr">
        <is>
          <t>web_search</t>
        </is>
      </c>
      <c r="L4" s="2" t="inlineStr">
        <is>
          <t>high</t>
        </is>
      </c>
      <c r="M4" s="2" t="inlineStr">
        <is>
          <t>2026-09-21</t>
        </is>
      </c>
    </row>
    <row r="5">
      <c r="A5" s="2" t="n">
        <v>4</v>
      </c>
      <c r="B5" s="2" t="inlineStr">
        <is>
          <t>부산</t>
        </is>
      </c>
      <c r="C5" s="2" t="inlineStr">
        <is>
          <t>고신대학교</t>
        </is>
      </c>
      <c r="D5" s="2" t="inlineStr">
        <is>
          <t>평생교육원</t>
        </is>
      </c>
      <c r="E5" s="2" t="inlineStr">
        <is>
          <t>강사모집</t>
        </is>
      </c>
      <c r="F5" s="2" t="inlineStr">
        <is>
          <t>2024년 상반기 고신대학교 평생교육원 학점은행제 신규강사 모집 안내</t>
        </is>
      </c>
      <c r="G5" s="2" t="inlineStr">
        <is>
          <t>2024</t>
        </is>
      </c>
      <c r="H5" s="3" t="inlineStr">
        <is>
          <t>https://kosinedu.com/sub04_1/2021</t>
        </is>
      </c>
      <c r="I5" s="2" t="inlineStr">
        <is>
          <t>자격: 학사+교육/연구경력 4년, 석사+2년, 박사. 수강인원 5명(이론 10명) 이상 확보 조건. 국가공무원법 33조 결격사유 없어야 함. 문의 051-990-2260, 2450. (2025·2026 공고는 검색 미확인)</t>
        </is>
      </c>
      <c r="J5" s="2" t="inlineStr">
        <is>
          <t>공지사항</t>
        </is>
      </c>
      <c r="K5" s="2" t="inlineStr">
        <is>
          <t>web_search</t>
        </is>
      </c>
      <c r="L5" s="2" t="inlineStr">
        <is>
          <t>high</t>
        </is>
      </c>
      <c r="M5" s="2" t="inlineStr">
        <is>
          <t>2026-09-21</t>
        </is>
      </c>
    </row>
    <row r="6">
      <c r="A6" s="2" t="n">
        <v>5</v>
      </c>
      <c r="B6" s="2" t="inlineStr">
        <is>
          <t>부산</t>
        </is>
      </c>
      <c r="C6" s="2" t="inlineStr">
        <is>
          <t>국립부경대학교</t>
        </is>
      </c>
      <c r="D6" s="2" t="inlineStr">
        <is>
          <t>평생교육원</t>
        </is>
      </c>
      <c r="E6" s="2" t="inlineStr">
        <is>
          <t>강좌개설공모</t>
        </is>
      </c>
      <c r="F6" s="2" t="inlineStr">
        <is>
          <t>2023학년도 2학기 평생교육원 개설강좌 공모 안내</t>
        </is>
      </c>
      <c r="G6" s="2" t="inlineStr">
        <is>
          <t>2023-05</t>
        </is>
      </c>
      <c r="H6" s="3" t="inlineStr">
        <is>
          <t>https://ee.pknu.ac.kr/ee/1669?action=view&amp;no=9934849</t>
        </is>
      </c>
      <c r="I6" s="2" t="inlineStr">
        <is>
          <t>공모기간 2023-05-09~05-31. 대상: 교수, 연구원, 대학원생, 직원 등 강의분야 자격·경력 보유자. 매 학기 유사 공모 반복.</t>
        </is>
      </c>
      <c r="J6" s="2" t="inlineStr">
        <is>
          <t>학과 게시판(전재)</t>
        </is>
      </c>
      <c r="K6" s="2" t="inlineStr">
        <is>
          <t>web_search</t>
        </is>
      </c>
      <c r="L6" s="2" t="inlineStr">
        <is>
          <t>high</t>
        </is>
      </c>
      <c r="M6" s="2" t="inlineStr">
        <is>
          <t>2026-09-21</t>
        </is>
      </c>
    </row>
    <row r="7">
      <c r="A7" s="2" t="n">
        <v>6</v>
      </c>
      <c r="B7" s="2" t="inlineStr">
        <is>
          <t>부산</t>
        </is>
      </c>
      <c r="C7" s="2" t="inlineStr">
        <is>
          <t>국립부경대학교</t>
        </is>
      </c>
      <c r="D7" s="2" t="inlineStr">
        <is>
          <t>평생교육원</t>
        </is>
      </c>
      <c r="E7" s="2" t="inlineStr">
        <is>
          <t>강좌개설공모</t>
        </is>
      </c>
      <c r="F7" s="2" t="inlineStr">
        <is>
          <t>2024학년도 2학기 일반교육과정 개설강좌 공모</t>
        </is>
      </c>
      <c r="G7" s="2" t="inlineStr">
        <is>
          <t>2024</t>
        </is>
      </c>
      <c r="H7" s="3" t="inlineStr">
        <is>
          <t>http://ps.pknu.ac.kr/</t>
        </is>
      </c>
      <c r="I7" s="2" t="inlineStr">
        <is>
          <t>평생교육원 홈페이지 공지에 게시된 개설강좌 공모(개별 URL 미확보). 문의 051-629-6791.</t>
        </is>
      </c>
      <c r="J7" s="2" t="inlineStr">
        <is>
          <t>공지사항</t>
        </is>
      </c>
      <c r="K7" s="2" t="inlineStr">
        <is>
          <t>web_search</t>
        </is>
      </c>
      <c r="L7" s="2" t="inlineStr">
        <is>
          <t>low</t>
        </is>
      </c>
      <c r="M7" s="2" t="inlineStr">
        <is>
          <t>2026-09-21</t>
        </is>
      </c>
    </row>
    <row r="8">
      <c r="A8" s="2" t="n">
        <v>7</v>
      </c>
      <c r="B8" s="2" t="inlineStr">
        <is>
          <t>부산</t>
        </is>
      </c>
      <c r="C8" s="2" t="inlineStr">
        <is>
          <t>국립부경대학교</t>
        </is>
      </c>
      <c r="D8" s="2" t="inlineStr">
        <is>
          <t>대학 본부</t>
        </is>
      </c>
      <c r="E8" s="2" t="inlineStr">
        <is>
          <t>일반강사채용(참고)</t>
        </is>
      </c>
      <c r="F8" s="2" t="inlineStr">
        <is>
          <t>2025-2학기 (1차) 강사 채용 공고</t>
        </is>
      </c>
      <c r="G8" s="2" t="inlineStr">
        <is>
          <t>2025</t>
        </is>
      </c>
      <c r="H8" s="3" t="inlineStr">
        <is>
          <t>https://kcue.or.kr/notice/sub04.php?pagenumber=1&amp;at=view&amp;idx=657599</t>
        </is>
      </c>
      <c r="I8" s="2" t="inlineStr">
        <is>
          <t>평생교육원 공고 아님.</t>
        </is>
      </c>
      <c r="J8" s="2" t="inlineStr">
        <is>
          <t>대교협</t>
        </is>
      </c>
      <c r="K8" s="2" t="inlineStr">
        <is>
          <t>web_search</t>
        </is>
      </c>
      <c r="L8" s="2" t="inlineStr">
        <is>
          <t>high</t>
        </is>
      </c>
      <c r="M8" s="2" t="inlineStr">
        <is>
          <t>2026-09-21</t>
        </is>
      </c>
    </row>
    <row r="9">
      <c r="A9" s="2" t="n">
        <v>8</v>
      </c>
      <c r="B9" s="2" t="inlineStr">
        <is>
          <t>부산</t>
        </is>
      </c>
      <c r="C9" s="2" t="inlineStr">
        <is>
          <t>국립부경대학교</t>
        </is>
      </c>
      <c r="D9" s="2" t="inlineStr">
        <is>
          <t>미래교육원(평생교육원)</t>
        </is>
      </c>
      <c r="E9" s="2" t="inlineStr">
        <is>
          <t>강좌개설공모</t>
        </is>
      </c>
      <c r="F9" s="2" t="inlineStr">
        <is>
          <t>미래교육원 2026학년도 1학기 특별교육과정 개설강좌 공모</t>
        </is>
      </c>
      <c r="G9" s="2" t="inlineStr">
        <is>
          <t>2025</t>
        </is>
      </c>
      <c r="H9" s="3" t="inlineStr">
        <is>
          <t>https://www.pknu.ac.kr/main/163?action=view&amp;no=723314</t>
        </is>
      </c>
      <c r="I9" s="2" t="inlineStr">
        <is>
          <t>특별교육과정 개설강좌 공모(강사·강좌 제안). 매 학기 반복. 문의 051-629-6791.</t>
        </is>
      </c>
      <c r="J9" s="2" t="inlineStr">
        <is>
          <t>대학 공지사항</t>
        </is>
      </c>
      <c r="K9" s="2" t="inlineStr">
        <is>
          <t>web_search</t>
        </is>
      </c>
      <c r="L9" s="2" t="inlineStr">
        <is>
          <t>high</t>
        </is>
      </c>
      <c r="M9" s="2" t="inlineStr">
        <is>
          <t>2026-09-21</t>
        </is>
      </c>
    </row>
    <row r="10">
      <c r="A10" s="2" t="n">
        <v>9</v>
      </c>
      <c r="B10" s="2" t="inlineStr">
        <is>
          <t>부산</t>
        </is>
      </c>
      <c r="C10" s="2" t="inlineStr">
        <is>
          <t>국립한국해양대학교</t>
        </is>
      </c>
      <c r="D10" s="2" t="inlineStr">
        <is>
          <t>대학 본부</t>
        </is>
      </c>
      <c r="E10" s="2" t="inlineStr">
        <is>
          <t>일반강사채용(참고)</t>
        </is>
      </c>
      <c r="F10" s="2" t="inlineStr">
        <is>
          <t>2026학년도 상반기 강사 공개채용 모집 공고</t>
        </is>
      </c>
      <c r="G10" s="2" t="inlineStr">
        <is>
          <t>2026</t>
        </is>
      </c>
      <c r="H10" s="3" t="inlineStr">
        <is>
          <t>https://www.kmou.ac.kr/kmou/na/ntt/selectNttInfo.do?nttSn=10369063&amp;mi=2035</t>
        </is>
      </c>
      <c r="I10" s="2" t="inlineStr">
        <is>
          <t>학부 강사 채용. 평생교육원 공고 아님.</t>
        </is>
      </c>
      <c r="J10" s="2" t="inlineStr">
        <is>
          <t>대학 공지사항</t>
        </is>
      </c>
      <c r="K10" s="2" t="inlineStr">
        <is>
          <t>web_search</t>
        </is>
      </c>
      <c r="L10" s="2" t="inlineStr">
        <is>
          <t>high</t>
        </is>
      </c>
      <c r="M10" s="2" t="inlineStr">
        <is>
          <t>2026-09-21</t>
        </is>
      </c>
    </row>
    <row r="11">
      <c r="A11" s="2" t="n">
        <v>10</v>
      </c>
      <c r="B11" s="2" t="inlineStr">
        <is>
          <t>부산</t>
        </is>
      </c>
      <c r="C11" s="2" t="inlineStr">
        <is>
          <t>동아대학교</t>
        </is>
      </c>
      <c r="D11" s="2" t="inlineStr">
        <is>
          <t>평생교육원</t>
        </is>
      </c>
      <c r="E11" s="2" t="inlineStr">
        <is>
          <t>강좌개설신청</t>
        </is>
      </c>
      <c r="F11" s="2" t="inlineStr">
        <is>
          <t>강좌개설신청</t>
        </is>
      </c>
      <c r="G11" s="2" t="inlineStr"/>
      <c r="H11" s="3" t="inlineStr">
        <is>
          <t>https://donga-edu.donga.ac.kr/community_notice/read.aspx?no=10288&amp;board_code=site9100</t>
        </is>
      </c>
      <c r="I11" s="2" t="inlineStr"/>
      <c r="J11" s="2" t="inlineStr">
        <is>
          <t>공지사항</t>
        </is>
      </c>
      <c r="K11" s="2" t="inlineStr">
        <is>
          <t>scraper</t>
        </is>
      </c>
      <c r="L11" s="2" t="inlineStr">
        <is>
          <t>high</t>
        </is>
      </c>
      <c r="M11" s="2" t="inlineStr">
        <is>
          <t>2026-09-21</t>
        </is>
      </c>
    </row>
    <row r="12">
      <c r="A12" s="2" t="n">
        <v>11</v>
      </c>
      <c r="B12" s="2" t="inlineStr">
        <is>
          <t>부산</t>
        </is>
      </c>
      <c r="C12" s="2" t="inlineStr">
        <is>
          <t>동아대학교</t>
        </is>
      </c>
      <c r="D12" s="2" t="inlineStr">
        <is>
          <t>대학 본부(교원공채)</t>
        </is>
      </c>
      <c r="E12" s="2" t="inlineStr">
        <is>
          <t>일반강사채용(참고)</t>
        </is>
      </c>
      <c r="F12" s="2" t="inlineStr">
        <is>
          <t>2026학년도 1학기 강사 초빙 공고</t>
        </is>
      </c>
      <c r="G12" s="2" t="inlineStr">
        <is>
          <t>2026-01</t>
        </is>
      </c>
      <c r="H12" s="3" t="inlineStr">
        <is>
          <t>https://www.jinhakpro.com/recruit/37049</t>
        </is>
      </c>
      <c r="I12" s="2" t="inlineStr">
        <is>
          <t>접수 2026-01-23 09:00 ~ 01-29 13:00. 기초심사+전공심사(+면접). 평생교육원 공고 아님.</t>
        </is>
      </c>
      <c r="J12" s="2" t="inlineStr">
        <is>
          <t>진학프로</t>
        </is>
      </c>
      <c r="K12" s="2" t="inlineStr">
        <is>
          <t>web_search</t>
        </is>
      </c>
      <c r="L12" s="2" t="inlineStr">
        <is>
          <t>high</t>
        </is>
      </c>
      <c r="M12" s="2" t="inlineStr">
        <is>
          <t>2026-09-21</t>
        </is>
      </c>
    </row>
    <row r="13">
      <c r="A13" s="2" t="n">
        <v>12</v>
      </c>
      <c r="B13" s="2" t="inlineStr">
        <is>
          <t>부산</t>
        </is>
      </c>
      <c r="C13" s="2" t="inlineStr">
        <is>
          <t>동의과학대학교</t>
        </is>
      </c>
      <c r="D13" s="2" t="inlineStr">
        <is>
          <t>평생교육원</t>
        </is>
      </c>
      <c r="E13" s="2" t="inlineStr">
        <is>
          <t>강사모집</t>
        </is>
      </c>
      <c r="F13" s="2" t="inlineStr">
        <is>
          <t>[평생교육원] 스포츠 강사 채용 공고 (2026년 어르신 스포츠강좌 프로그램 지원사업)</t>
        </is>
      </c>
      <c r="G13" s="2" t="inlineStr">
        <is>
          <t>2026-04-22</t>
        </is>
      </c>
      <c r="H13" s="3" t="inlineStr">
        <is>
          <t>https://m.dit.ac.kr/kr/?idx=17100&amp;mode=view&amp;pCode=notice</t>
        </is>
      </c>
      <c r="I13" s="2" t="inlineStr">
        <is>
          <t>2026년 어르신 스포츠강좌 프로그램 지원사업 강사 채용. 첨부: 강사지원서(hwp).</t>
        </is>
      </c>
      <c r="J13" s="2" t="inlineStr">
        <is>
          <t>대학 공지사항</t>
        </is>
      </c>
      <c r="K13" s="2" t="inlineStr">
        <is>
          <t>web_search</t>
        </is>
      </c>
      <c r="L13" s="2" t="inlineStr">
        <is>
          <t>high</t>
        </is>
      </c>
      <c r="M13" s="2" t="inlineStr">
        <is>
          <t>2026-09-21</t>
        </is>
      </c>
    </row>
    <row r="14">
      <c r="A14" s="2" t="n">
        <v>13</v>
      </c>
      <c r="B14" s="2" t="inlineStr">
        <is>
          <t>부산</t>
        </is>
      </c>
      <c r="C14" s="2" t="inlineStr">
        <is>
          <t>동의대학교</t>
        </is>
      </c>
      <c r="D14" s="2" t="inlineStr">
        <is>
          <t>평생교육원(미래교육원)</t>
        </is>
      </c>
      <c r="E14" s="2" t="inlineStr">
        <is>
          <t>강사모집</t>
        </is>
      </c>
      <c r="F14" s="2" t="inlineStr">
        <is>
          <t>학점은행제 강사 모집(상시)</t>
        </is>
      </c>
      <c r="G14" s="2" t="inlineStr"/>
      <c r="H14" s="3" t="inlineStr">
        <is>
          <t>https://lifelong.deu.ac.kr/Board/BoardView.aspx?CategoryNo=5&amp;PageNo=1&amp;KeyWord=&amp;KeyField=TITLE&amp;CategoryYN=Y&amp;BoardNo=190984&amp;BoardMstNo=1&amp;MENU_ID=141&amp;Secret=&amp;Secret_YN=N</t>
        </is>
      </c>
      <c r="I14" s="2" t="inlineStr">
        <is>
          <t>제출서류: 지원서(이력서), 연구 및 활동 실적물(최근 2년), 개인정보동의서. 첨부: 학점은행제 강사 자격 기준, 이력서 양식. 평생교육원강사관리위원회가 기초·전공심사 후 필요 시 개별 연락. 문의 051-890-1947~8.</t>
        </is>
      </c>
      <c r="J14" s="2" t="inlineStr">
        <is>
          <t>공지사항</t>
        </is>
      </c>
      <c r="K14" s="2" t="inlineStr">
        <is>
          <t>web_search</t>
        </is>
      </c>
      <c r="L14" s="2" t="inlineStr">
        <is>
          <t>high</t>
        </is>
      </c>
      <c r="M14" s="2" t="inlineStr">
        <is>
          <t>2026-09-21</t>
        </is>
      </c>
    </row>
    <row r="15">
      <c r="A15" s="2" t="n">
        <v>14</v>
      </c>
      <c r="B15" s="2" t="inlineStr">
        <is>
          <t>부산</t>
        </is>
      </c>
      <c r="C15" s="2" t="inlineStr">
        <is>
          <t>부산가톨릭대학교</t>
        </is>
      </c>
      <c r="D15" s="2" t="inlineStr">
        <is>
          <t>평생교육원</t>
        </is>
      </c>
      <c r="E15" s="2" t="inlineStr">
        <is>
          <t>강사인증/등록</t>
        </is>
      </c>
      <c r="F15" s="2" t="inlineStr">
        <is>
          <t>2025학년도 강사 인증 신청자 모집</t>
        </is>
      </c>
      <c r="G15" s="2" t="inlineStr">
        <is>
          <t>2026-01-27</t>
        </is>
      </c>
      <c r="H15" s="3" t="inlineStr">
        <is>
          <t>https://edu.cup.ac.kr/</t>
        </is>
      </c>
      <c r="I15" s="2" t="inlineStr">
        <is>
          <t>평생교육원 강사 인증(등록) 신청자 모집 공지. 상세는 평생교육원 공지사항 확인. 문의 051-519-0492~4.</t>
        </is>
      </c>
      <c r="J15" s="2" t="inlineStr">
        <is>
          <t>공지사항</t>
        </is>
      </c>
      <c r="K15" s="2" t="inlineStr">
        <is>
          <t>web_search</t>
        </is>
      </c>
      <c r="L15" s="2" t="inlineStr">
        <is>
          <t>medium</t>
        </is>
      </c>
      <c r="M15" s="2" t="inlineStr">
        <is>
          <t>2026-09-21</t>
        </is>
      </c>
    </row>
    <row r="16">
      <c r="A16" s="2" t="n">
        <v>15</v>
      </c>
      <c r="B16" s="2" t="inlineStr">
        <is>
          <t>부산</t>
        </is>
      </c>
      <c r="C16" s="2" t="inlineStr">
        <is>
          <t>부산교육대학교</t>
        </is>
      </c>
      <c r="D16" s="2" t="inlineStr">
        <is>
          <t>대학 본부</t>
        </is>
      </c>
      <c r="E16" s="2" t="inlineStr">
        <is>
          <t>일반강사채용(참고)</t>
        </is>
      </c>
      <c r="F16" s="2" t="inlineStr">
        <is>
          <t>2025학년도 2학기(1차) 강사 채용공고</t>
        </is>
      </c>
      <c r="G16" s="2" t="inlineStr">
        <is>
          <t>2025</t>
        </is>
      </c>
      <c r="H16" s="3" t="inlineStr">
        <is>
          <t>https://www.kcue.or.kr/notice/sub04.php?pagenumber=1&amp;at=view&amp;idx=657669</t>
        </is>
      </c>
      <c r="I16" s="2" t="inlineStr">
        <is>
          <t>평생교육원 공고 아님.</t>
        </is>
      </c>
      <c r="J16" s="2" t="inlineStr">
        <is>
          <t>대교협</t>
        </is>
      </c>
      <c r="K16" s="2" t="inlineStr">
        <is>
          <t>web_search</t>
        </is>
      </c>
      <c r="L16" s="2" t="inlineStr">
        <is>
          <t>high</t>
        </is>
      </c>
      <c r="M16" s="2" t="inlineStr">
        <is>
          <t>2026-09-21</t>
        </is>
      </c>
    </row>
    <row r="17">
      <c r="A17" s="2" t="n">
        <v>16</v>
      </c>
      <c r="B17" s="2" t="inlineStr">
        <is>
          <t>부산</t>
        </is>
      </c>
      <c r="C17" s="2" t="inlineStr">
        <is>
          <t>부산대학교</t>
        </is>
      </c>
      <c r="D17" s="2" t="inlineStr">
        <is>
          <t>미래시민교육원</t>
        </is>
      </c>
      <c r="E17" s="2" t="inlineStr">
        <is>
          <t>강사공지</t>
        </is>
      </c>
      <c r="F17" s="2" t="inlineStr">
        <is>
          <t>2026학년도 2학기 강사 공지사항</t>
        </is>
      </c>
      <c r="G17" s="2" t="inlineStr">
        <is>
          <t>2026-08-27</t>
        </is>
      </c>
      <c r="H17" s="3" t="inlineStr">
        <is>
          <t>https://d-sce.pusan.ac.kr/kor/CMS/Board/Board.do?mCode=MN052</t>
        </is>
      </c>
      <c r="I17" s="2" t="inlineStr">
        <is>
          <t>2학기 강사 대상 공지(학습비 감면 신청 안내와 함께 게시). 강좌개설 신청 절차는 게시판에서 확인 필요. 문의 051-510-1234~5.</t>
        </is>
      </c>
      <c r="J17" s="2" t="inlineStr">
        <is>
          <t>공지사항</t>
        </is>
      </c>
      <c r="K17" s="2" t="inlineStr">
        <is>
          <t>web_search</t>
        </is>
      </c>
      <c r="L17" s="2" t="inlineStr">
        <is>
          <t>medium</t>
        </is>
      </c>
      <c r="M17" s="2" t="inlineStr">
        <is>
          <t>2026-09-21</t>
        </is>
      </c>
    </row>
    <row r="18">
      <c r="A18" s="2" t="n">
        <v>17</v>
      </c>
      <c r="B18" s="2" t="inlineStr">
        <is>
          <t>부산</t>
        </is>
      </c>
      <c r="C18" s="2" t="inlineStr">
        <is>
          <t>부산보건대학교</t>
        </is>
      </c>
      <c r="D18" s="2" t="inlineStr">
        <is>
          <t>평생교육원</t>
        </is>
      </c>
      <c r="E18" s="2" t="inlineStr">
        <is>
          <t>강좌개설제안(상시)</t>
        </is>
      </c>
      <c r="F18" s="2" t="inlineStr">
        <is>
          <t>신규강좌 개설 신청 (홈페이지 상시 접수 메뉴)</t>
        </is>
      </c>
      <c r="G18" s="2" t="inlineStr"/>
      <c r="H18" s="3" t="inlineStr">
        <is>
          <t>https://life.bhu.ac.kr/</t>
        </is>
      </c>
      <c r="I18" s="2" t="inlineStr">
        <is>
          <t>홈페이지에 '신규강좌 개설 신청' 메뉴 운영. 문의 051-200-3244, 1528.</t>
        </is>
      </c>
      <c r="J18" s="2" t="inlineStr">
        <is>
          <t>홈페이지 메뉴</t>
        </is>
      </c>
      <c r="K18" s="2" t="inlineStr">
        <is>
          <t>web_search</t>
        </is>
      </c>
      <c r="L18" s="2" t="inlineStr">
        <is>
          <t>medium</t>
        </is>
      </c>
      <c r="M18" s="2" t="inlineStr">
        <is>
          <t>2026-09-21</t>
        </is>
      </c>
    </row>
    <row r="19">
      <c r="A19" s="2" t="n">
        <v>18</v>
      </c>
      <c r="B19" s="2" t="inlineStr">
        <is>
          <t>부산</t>
        </is>
      </c>
      <c r="C19" s="2" t="inlineStr">
        <is>
          <t>부산여자대학교</t>
        </is>
      </c>
      <c r="D19" s="2" t="inlineStr">
        <is>
          <t>대학 본부</t>
        </is>
      </c>
      <c r="E19" s="2" t="inlineStr">
        <is>
          <t>일반강사채용(참고)</t>
        </is>
      </c>
      <c r="F19" s="2" t="inlineStr">
        <is>
          <t>2025학년도 1학기 2차 강사 공개 채용 공고</t>
        </is>
      </c>
      <c r="G19" s="2" t="inlineStr">
        <is>
          <t>2025</t>
        </is>
      </c>
      <c r="H19" s="3" t="inlineStr">
        <is>
          <t>https://www.jinhakpro.com/recruit/22963</t>
        </is>
      </c>
      <c r="I19" s="2" t="inlineStr">
        <is>
          <t>평생교육원 공고 아님.</t>
        </is>
      </c>
      <c r="J19" s="2" t="inlineStr">
        <is>
          <t>진학프로</t>
        </is>
      </c>
      <c r="K19" s="2" t="inlineStr">
        <is>
          <t>web_search</t>
        </is>
      </c>
      <c r="L19" s="2" t="inlineStr">
        <is>
          <t>high</t>
        </is>
      </c>
      <c r="M19" s="2" t="inlineStr">
        <is>
          <t>2026-09-21</t>
        </is>
      </c>
    </row>
    <row r="20">
      <c r="A20" s="2" t="n">
        <v>19</v>
      </c>
      <c r="B20" s="2" t="inlineStr">
        <is>
          <t>부산</t>
        </is>
      </c>
      <c r="C20" s="2" t="inlineStr">
        <is>
          <t>부산예술대학교</t>
        </is>
      </c>
      <c r="D20" s="2" t="inlineStr">
        <is>
          <t>평생교육원</t>
        </is>
      </c>
      <c r="E20" s="2" t="inlineStr">
        <is>
          <t>강사모집</t>
        </is>
      </c>
      <c r="F20" s="2" t="inlineStr">
        <is>
          <t>2025학년도 여름학기 평생교육원 개설강좌 및 강사모집 공고</t>
        </is>
      </c>
      <c r="G20" s="2" t="inlineStr"/>
      <c r="H20" s="3" t="inlineStr">
        <is>
          <t>https://pia-edu.com/notice/?bmode=view&amp;idx=161131935</t>
        </is>
      </c>
      <c r="I20" s="2" t="inlineStr">
        <is>
          <t>여름학기 개설강좌 및 강사 공모 공고(게시글 URL 확보).</t>
        </is>
      </c>
      <c r="J20" s="2" t="inlineStr">
        <is>
          <t>공지사항</t>
        </is>
      </c>
      <c r="K20" s="2" t="inlineStr">
        <is>
          <t>web_search</t>
        </is>
      </c>
      <c r="L20" s="2" t="inlineStr">
        <is>
          <t>high</t>
        </is>
      </c>
      <c r="M20" s="2" t="inlineStr">
        <is>
          <t>2026-09-21</t>
        </is>
      </c>
    </row>
    <row r="21">
      <c r="A21" s="2" t="n">
        <v>20</v>
      </c>
      <c r="B21" s="2" t="inlineStr">
        <is>
          <t>부산</t>
        </is>
      </c>
      <c r="C21" s="2" t="inlineStr">
        <is>
          <t>부산예술대학교</t>
        </is>
      </c>
      <c r="D21" s="2" t="inlineStr">
        <is>
          <t>평생교육원</t>
        </is>
      </c>
      <c r="E21" s="2" t="inlineStr">
        <is>
          <t>강사모집</t>
        </is>
      </c>
      <c r="F21" s="2" t="inlineStr">
        <is>
          <t>2025학년도 겨울학기 평생교육원 개설강좌 및 강사모집 공고</t>
        </is>
      </c>
      <c r="G21" s="2" t="inlineStr">
        <is>
          <t>2025-10-21</t>
        </is>
      </c>
      <c r="H21" s="3" t="inlineStr">
        <is>
          <t>https://pia-edu.com/notice/?bmode=view&amp;idx=168278318</t>
        </is>
      </c>
      <c r="I21" s="2" t="inlineStr">
        <is>
          <t>겨울학기 개설강좌 및 강사 공모 공고(게시글 URL 확보).</t>
        </is>
      </c>
      <c r="J21" s="2" t="inlineStr">
        <is>
          <t>공지사항</t>
        </is>
      </c>
      <c r="K21" s="2" t="inlineStr">
        <is>
          <t>web_search</t>
        </is>
      </c>
      <c r="L21" s="2" t="inlineStr">
        <is>
          <t>high</t>
        </is>
      </c>
      <c r="M21" s="2" t="inlineStr">
        <is>
          <t>2026-09-21</t>
        </is>
      </c>
    </row>
    <row r="22">
      <c r="A22" s="2" t="n">
        <v>21</v>
      </c>
      <c r="B22" s="2" t="inlineStr">
        <is>
          <t>부산</t>
        </is>
      </c>
      <c r="C22" s="2" t="inlineStr">
        <is>
          <t>부산예술대학교</t>
        </is>
      </c>
      <c r="D22" s="2" t="inlineStr">
        <is>
          <t>평생교육원</t>
        </is>
      </c>
      <c r="E22" s="2" t="inlineStr">
        <is>
          <t>강사모집</t>
        </is>
      </c>
      <c r="F22" s="2" t="inlineStr">
        <is>
          <t>2026학년도 1학기 평생교육원 개설강좌 및 강사모집 공고</t>
        </is>
      </c>
      <c r="G22" s="2" t="inlineStr">
        <is>
          <t>2026-01-19</t>
        </is>
      </c>
      <c r="H22" s="3" t="inlineStr">
        <is>
          <t>https://pia-edu.com/notice/?q=YToxOntzOjEyOiJrZXl3b3JkX3R5cGUiO3M6MzoiYWxsIjt9&amp;bmode=view&amp;idx=169560243&amp;t=board</t>
        </is>
      </c>
      <c r="I22" s="2" t="inlineStr">
        <is>
          <t>학기별로 개설강좌와 강사를 함께 공모하는 정기 공고. 검색 스니펫에서 제목만 확인되어 개별 게시글 URL은 공지 목록에서 확인 필요. 문의 051-622-0056 / 051-628-3990.</t>
        </is>
      </c>
      <c r="J22" s="2" t="inlineStr">
        <is>
          <t>공지사항</t>
        </is>
      </c>
      <c r="K22" s="2" t="inlineStr">
        <is>
          <t>web_search</t>
        </is>
      </c>
      <c r="L22" s="2" t="inlineStr">
        <is>
          <t>medium</t>
        </is>
      </c>
      <c r="M22" s="2" t="inlineStr">
        <is>
          <t>2026-09-21</t>
        </is>
      </c>
    </row>
    <row r="23">
      <c r="A23" s="2" t="n">
        <v>22</v>
      </c>
      <c r="B23" s="2" t="inlineStr">
        <is>
          <t>부산</t>
        </is>
      </c>
      <c r="C23" s="2" t="inlineStr">
        <is>
          <t>부산예술대학교</t>
        </is>
      </c>
      <c r="D23" s="2" t="inlineStr">
        <is>
          <t>평생교육원</t>
        </is>
      </c>
      <c r="E23" s="2" t="inlineStr">
        <is>
          <t>강사모집</t>
        </is>
      </c>
      <c r="F23" s="2" t="inlineStr">
        <is>
          <t>2026학년도 여름학기 평생교육원 개설강좌 및 강사모집 공고</t>
        </is>
      </c>
      <c r="G23" s="2" t="inlineStr">
        <is>
          <t>2026-05-12</t>
        </is>
      </c>
      <c r="H23" s="3" t="inlineStr">
        <is>
          <t>https://pia-edu.com/notice/?q=YToxOntzOjEyOiJrZXl3b3JkX3R5cGUiO3M6MzoiYWxsIjt9&amp;bmode=view&amp;idx=171246486&amp;t=board</t>
        </is>
      </c>
      <c r="I23" s="2" t="inlineStr"/>
      <c r="J23" s="2" t="inlineStr">
        <is>
          <t>공지사항</t>
        </is>
      </c>
      <c r="K23" s="2" t="inlineStr">
        <is>
          <t>scraper</t>
        </is>
      </c>
      <c r="L23" s="2" t="inlineStr">
        <is>
          <t>high</t>
        </is>
      </c>
      <c r="M23" s="2" t="inlineStr">
        <is>
          <t>2026-09-21</t>
        </is>
      </c>
    </row>
    <row r="24">
      <c r="A24" s="2" t="n">
        <v>23</v>
      </c>
      <c r="B24" s="2" t="inlineStr">
        <is>
          <t>부산</t>
        </is>
      </c>
      <c r="C24" s="2" t="inlineStr">
        <is>
          <t>부산외국어대학교</t>
        </is>
      </c>
      <c r="D24" s="2" t="inlineStr">
        <is>
          <t>평생교육원</t>
        </is>
      </c>
      <c r="E24" s="2" t="inlineStr">
        <is>
          <t>강사모집</t>
        </is>
      </c>
      <c r="F24" s="2" t="inlineStr">
        <is>
          <t>2021학년도 평생교육 여름학기 정규강좌 신규 강좌 및 강사 모집</t>
        </is>
      </c>
      <c r="G24" s="2" t="inlineStr">
        <is>
          <t>2021</t>
        </is>
      </c>
      <c r="H24" s="3" t="inlineStr">
        <is>
          <t>https://lec.bufs.ac.kr/lec/index.php?pCode=MN000017&amp;mode=view&amp;idx=66631</t>
        </is>
      </c>
      <c r="I24" s="2" t="inlineStr">
        <is>
          <t>정규강좌 및 민간자격증 과정 신규 강좌·강사 모집(과거 공고, 게시판 위치 참고).</t>
        </is>
      </c>
      <c r="J24" s="2" t="inlineStr">
        <is>
          <t>공지사항</t>
        </is>
      </c>
      <c r="K24" s="2" t="inlineStr">
        <is>
          <t>web_search</t>
        </is>
      </c>
      <c r="L24" s="2" t="inlineStr">
        <is>
          <t>high</t>
        </is>
      </c>
      <c r="M24" s="2" t="inlineStr">
        <is>
          <t>2026-09-21</t>
        </is>
      </c>
    </row>
    <row r="25">
      <c r="A25" s="2" t="n">
        <v>24</v>
      </c>
      <c r="B25" s="2" t="inlineStr">
        <is>
          <t>부산</t>
        </is>
      </c>
      <c r="C25" s="2" t="inlineStr">
        <is>
          <t>신라대학교</t>
        </is>
      </c>
      <c r="D25" s="2" t="inlineStr">
        <is>
          <t>평생교육원</t>
        </is>
      </c>
      <c r="E25" s="2" t="inlineStr">
        <is>
          <t>강좌개설신청</t>
        </is>
      </c>
      <c r="F25" s="2" t="inlineStr">
        <is>
          <t>2026학년도 2학기 평생교육부 강좌 개설 희망자 모집 및 서류 제출 안내 2026학년도 2학기 평생교육부 강좌 개설 희망 모집
평생교육원 강좌 개설을 희망하시는 분들을 아래와 같이 모집하오니 
희망자는 서류 구비하여 신청하여 ... 2026-08-03 이현정</t>
        </is>
      </c>
      <c r="G25" s="2" t="inlineStr">
        <is>
          <t>2026-08-03</t>
        </is>
      </c>
      <c r="H25" s="3" t="inlineStr">
        <is>
          <t>https://soc.silla.ac.kr/Home/Sub04/NoticeBoard01.aspx?id=1116</t>
        </is>
      </c>
      <c r="I25" s="2" t="inlineStr"/>
      <c r="J25" s="2" t="inlineStr">
        <is>
          <t>공지사항</t>
        </is>
      </c>
      <c r="K25" s="2" t="inlineStr">
        <is>
          <t>scraper</t>
        </is>
      </c>
      <c r="L25" s="2" t="inlineStr">
        <is>
          <t>high</t>
        </is>
      </c>
      <c r="M25" s="2" t="inlineStr">
        <is>
          <t>2026-09-21</t>
        </is>
      </c>
    </row>
    <row r="26">
      <c r="A26" s="2" t="n">
        <v>25</v>
      </c>
      <c r="B26" s="2" t="inlineStr">
        <is>
          <t>부산</t>
        </is>
      </c>
      <c r="C26" s="2" t="inlineStr">
        <is>
          <t>영산대학교</t>
        </is>
      </c>
      <c r="D26" s="2" t="inlineStr">
        <is>
          <t>평생교육원</t>
        </is>
      </c>
      <c r="E26" s="2" t="inlineStr">
        <is>
          <t>강사모집</t>
        </is>
      </c>
      <c r="F26" s="2" t="inlineStr">
        <is>
          <t>2025년도 봄학기 일반과정 신규강좌 및 강사모집</t>
        </is>
      </c>
      <c r="G26" s="2" t="inlineStr">
        <is>
          <t>2025</t>
        </is>
      </c>
      <c r="H26" s="3" t="inlineStr">
        <is>
          <t>https://ysedu.ysu.ac.kr/board/notice_edu/list.asp</t>
        </is>
      </c>
      <c r="I26" s="2" t="inlineStr">
        <is>
          <t>학기별 신규강좌·강사 모집. 강좌개설 신청은 교양·건강·스포츠·컴퓨터·창업 등 전 분야 가능. 문의 051-540-7045, 7265.</t>
        </is>
      </c>
      <c r="J26" s="2" t="inlineStr">
        <is>
          <t>공지사항</t>
        </is>
      </c>
      <c r="K26" s="2" t="inlineStr">
        <is>
          <t>web_search</t>
        </is>
      </c>
      <c r="L26" s="2" t="inlineStr">
        <is>
          <t>medium</t>
        </is>
      </c>
      <c r="M26" s="2" t="inlineStr">
        <is>
          <t>2026-09-21</t>
        </is>
      </c>
    </row>
    <row r="27">
      <c r="A27" s="2" t="n">
        <v>26</v>
      </c>
      <c r="B27" s="2" t="inlineStr">
        <is>
          <t>부산</t>
        </is>
      </c>
      <c r="C27" s="2" t="inlineStr">
        <is>
          <t>영산대학교</t>
        </is>
      </c>
      <c r="D27" s="2" t="inlineStr">
        <is>
          <t>대학 본부</t>
        </is>
      </c>
      <c r="E27" s="2" t="inlineStr">
        <is>
          <t>일반강사채용(참고)</t>
        </is>
      </c>
      <c r="F27" s="2" t="inlineStr">
        <is>
          <t>2026학년도 하반기 겸임교수 공개채용 공고</t>
        </is>
      </c>
      <c r="G27" s="2" t="inlineStr">
        <is>
          <t>2026</t>
        </is>
      </c>
      <c r="H27" s="3" t="inlineStr">
        <is>
          <t>https://www.jinhakpro.com/recruit/45759</t>
        </is>
      </c>
      <c r="I27" s="2" t="inlineStr">
        <is>
          <t>평생교육원 공고 아님.</t>
        </is>
      </c>
      <c r="J27" s="2" t="inlineStr">
        <is>
          <t>진학프로</t>
        </is>
      </c>
      <c r="K27" s="2" t="inlineStr">
        <is>
          <t>web_search</t>
        </is>
      </c>
      <c r="L27" s="2" t="inlineStr">
        <is>
          <t>high</t>
        </is>
      </c>
      <c r="M27" s="2" t="inlineStr">
        <is>
          <t>2026-09-21</t>
        </is>
      </c>
    </row>
    <row r="28">
      <c r="A28" s="2" t="n">
        <v>27</v>
      </c>
      <c r="B28" s="2" t="inlineStr">
        <is>
          <t>울산</t>
        </is>
      </c>
      <c r="C28" s="2" t="inlineStr">
        <is>
          <t>울산과학대학교</t>
        </is>
      </c>
      <c r="D28" s="2" t="inlineStr">
        <is>
          <t>평생교육원</t>
        </is>
      </c>
      <c r="E28" s="2" t="inlineStr">
        <is>
          <t>강좌개설신청</t>
        </is>
      </c>
      <c r="F28" s="2" t="inlineStr">
        <is>
          <t>강좌 개설 제안</t>
        </is>
      </c>
      <c r="G28" s="2" t="inlineStr"/>
      <c r="H28" s="3" t="inlineStr">
        <is>
          <t>https://edu.uc.ac.kr/edu/CMS/Board/Board.do?mCode=MN080</t>
        </is>
      </c>
      <c r="I28" s="2" t="inlineStr"/>
      <c r="J28" s="2" t="inlineStr">
        <is>
          <t>공지사항</t>
        </is>
      </c>
      <c r="K28" s="2" t="inlineStr">
        <is>
          <t>scraper</t>
        </is>
      </c>
      <c r="L28" s="2" t="inlineStr">
        <is>
          <t>high</t>
        </is>
      </c>
      <c r="M28" s="2" t="inlineStr">
        <is>
          <t>2026-09-21</t>
        </is>
      </c>
    </row>
    <row r="29">
      <c r="A29" s="2" t="n">
        <v>28</v>
      </c>
      <c r="B29" s="2" t="inlineStr">
        <is>
          <t>울산</t>
        </is>
      </c>
      <c r="C29" s="2" t="inlineStr">
        <is>
          <t>울산과학대학교</t>
        </is>
      </c>
      <c r="D29" s="2" t="inlineStr">
        <is>
          <t>평생교육원</t>
        </is>
      </c>
      <c r="E29" s="2" t="inlineStr">
        <is>
          <t>강좌개설제안(상시)</t>
        </is>
      </c>
      <c r="F29" s="2" t="inlineStr">
        <is>
          <t>강좌개설제안 (홈페이지 상시 접수 메뉴)</t>
        </is>
      </c>
      <c r="G29" s="2" t="inlineStr"/>
      <c r="H29" s="3" t="inlineStr">
        <is>
          <t>https://www.uc.ac.kr/edu/</t>
        </is>
      </c>
      <c r="I29" s="2" t="inlineStr">
        <is>
          <t>별도 공고 없이 홈페이지 '강좌개설제안' 메뉴로 프로그램 개설 제안을 상시 접수. 문의 052-230-0822.</t>
        </is>
      </c>
      <c r="J29" s="2" t="inlineStr">
        <is>
          <t>홈페이지 메뉴</t>
        </is>
      </c>
      <c r="K29" s="2" t="inlineStr">
        <is>
          <t>web_search</t>
        </is>
      </c>
      <c r="L29" s="2" t="inlineStr">
        <is>
          <t>medium</t>
        </is>
      </c>
      <c r="M29" s="2" t="inlineStr">
        <is>
          <t>2026-09-21</t>
        </is>
      </c>
    </row>
    <row r="30">
      <c r="A30" s="2" t="n">
        <v>29</v>
      </c>
      <c r="B30" s="2" t="inlineStr">
        <is>
          <t>울산</t>
        </is>
      </c>
      <c r="C30" s="2" t="inlineStr">
        <is>
          <t>울산대학교</t>
        </is>
      </c>
      <c r="D30" s="2" t="inlineStr">
        <is>
          <t>평생교육원</t>
        </is>
      </c>
      <c r="E30" s="2" t="inlineStr">
        <is>
          <t>강사모집</t>
        </is>
      </c>
      <c r="F30" s="2" t="inlineStr">
        <is>
          <t>2025년 하반기 평생교육 강사 위수탁 추가모집 공고</t>
        </is>
      </c>
      <c r="G30" s="2" t="inlineStr">
        <is>
          <t>2025</t>
        </is>
      </c>
      <c r="H30" s="3" t="inlineStr">
        <is>
          <t>https://cec.ulsan.ac.kr/cec/3978?action=view&amp;no=272609</t>
        </is>
      </c>
      <c r="I30" s="2" t="inlineStr">
        <is>
          <t>하반기 강사 위수탁 추가모집. 게시글 번호(no=272609)는 검색 결과 기준 추정.</t>
        </is>
      </c>
      <c r="J30" s="2" t="inlineStr">
        <is>
          <t>공지사항</t>
        </is>
      </c>
      <c r="K30" s="2" t="inlineStr">
        <is>
          <t>web_search</t>
        </is>
      </c>
      <c r="L30" s="2" t="inlineStr">
        <is>
          <t>medium</t>
        </is>
      </c>
      <c r="M30" s="2" t="inlineStr">
        <is>
          <t>2026-09-21</t>
        </is>
      </c>
    </row>
    <row r="31">
      <c r="A31" s="2" t="n">
        <v>30</v>
      </c>
      <c r="B31" s="2" t="inlineStr">
        <is>
          <t>울산</t>
        </is>
      </c>
      <c r="C31" s="2" t="inlineStr">
        <is>
          <t>울산대학교</t>
        </is>
      </c>
      <c r="D31" s="2" t="inlineStr">
        <is>
          <t>평생교육원</t>
        </is>
      </c>
      <c r="E31" s="2" t="inlineStr">
        <is>
          <t>강좌개설제안(상시)</t>
        </is>
      </c>
      <c r="F31" s="2" t="inlineStr">
        <is>
          <t>신규 강좌 개설 제안서 안내</t>
        </is>
      </c>
      <c r="G31" s="2" t="inlineStr">
        <is>
          <t>2025-09-26</t>
        </is>
      </c>
      <c r="H31" s="3" t="inlineStr">
        <is>
          <t>https://cec.ulsan.ac.kr/cec/3978?action=view&amp;no=270342</t>
        </is>
      </c>
      <c r="I31" s="2" t="inlineStr">
        <is>
          <t>평생교육 전 분야 대상 상시 접수. 홈페이지 '강좌개설제안서' 제출 → 전화 확인 → 운영위원회 심의 → 개설 확정 시 개별 연락. 문의 052-259-2018, 2020 / cec2020@mail.ulsan.ac.kr.</t>
        </is>
      </c>
      <c r="J31" s="2" t="inlineStr">
        <is>
          <t>공지사항</t>
        </is>
      </c>
      <c r="K31" s="2" t="inlineStr">
        <is>
          <t>web_search</t>
        </is>
      </c>
      <c r="L31" s="2" t="inlineStr">
        <is>
          <t>high</t>
        </is>
      </c>
      <c r="M31" s="2" t="inlineStr">
        <is>
          <t>2026-09-21</t>
        </is>
      </c>
    </row>
    <row r="32">
      <c r="A32" s="2" t="n">
        <v>31</v>
      </c>
      <c r="B32" s="2" t="inlineStr">
        <is>
          <t>울산</t>
        </is>
      </c>
      <c r="C32" s="2" t="inlineStr">
        <is>
          <t>울산대학교</t>
        </is>
      </c>
      <c r="D32" s="2" t="inlineStr">
        <is>
          <t>평생교육원</t>
        </is>
      </c>
      <c r="E32" s="2" t="inlineStr">
        <is>
          <t>강좌개설신청</t>
        </is>
      </c>
      <c r="F32" s="2" t="inlineStr">
        <is>
          <t>★☆2026-2학기 신규강좌 안내★☆</t>
        </is>
      </c>
      <c r="G32" s="2" t="inlineStr">
        <is>
          <t>2026-08-10</t>
        </is>
      </c>
      <c r="H32" s="3" t="inlineStr">
        <is>
          <t>https://cec.ulsan.ac.kr/cec/3978?action=view&amp;no=280249</t>
        </is>
      </c>
      <c r="I32" s="2" t="inlineStr"/>
      <c r="J32" s="2" t="inlineStr">
        <is>
          <t>공지사항</t>
        </is>
      </c>
      <c r="K32" s="2" t="inlineStr">
        <is>
          <t>scraper</t>
        </is>
      </c>
      <c r="L32" s="2" t="inlineStr">
        <is>
          <t>high</t>
        </is>
      </c>
      <c r="M32" s="2" t="inlineStr">
        <is>
          <t>2026-09-21</t>
        </is>
      </c>
    </row>
    <row r="33">
      <c r="A33" s="2" t="n">
        <v>32</v>
      </c>
      <c r="B33" s="2" t="inlineStr">
        <is>
          <t>경남</t>
        </is>
      </c>
      <c r="C33" s="2" t="inlineStr">
        <is>
          <t>가야대학교</t>
        </is>
      </c>
      <c r="D33" s="2" t="inlineStr">
        <is>
          <t>평생교육원</t>
        </is>
      </c>
      <c r="E33" s="2" t="inlineStr">
        <is>
          <t>강사인증/등록</t>
        </is>
      </c>
      <c r="F33" s="2" t="inlineStr">
        <is>
          <t>강사지원 (홈페이지 상시 접수 메뉴)</t>
        </is>
      </c>
      <c r="G33" s="2" t="inlineStr"/>
      <c r="H33" s="3" t="inlineStr">
        <is>
          <t>https://life.kaya.ac.kr/pages/applicant/application.jsp</t>
        </is>
      </c>
      <c r="I33" s="2" t="inlineStr">
        <is>
          <t>평생교육원 홈페이지에 '강사지원' 메뉴 운영(상시). 문의 055-344-5210.</t>
        </is>
      </c>
      <c r="J33" s="2" t="inlineStr">
        <is>
          <t>홈페이지 메뉴</t>
        </is>
      </c>
      <c r="K33" s="2" t="inlineStr">
        <is>
          <t>web_search</t>
        </is>
      </c>
      <c r="L33" s="2" t="inlineStr">
        <is>
          <t>medium</t>
        </is>
      </c>
      <c r="M33" s="2" t="inlineStr">
        <is>
          <t>2026-09-21</t>
        </is>
      </c>
    </row>
    <row r="34">
      <c r="A34" s="2" t="n">
        <v>33</v>
      </c>
      <c r="B34" s="2" t="inlineStr">
        <is>
          <t>경남</t>
        </is>
      </c>
      <c r="C34" s="2" t="inlineStr">
        <is>
          <t>경남대학교</t>
        </is>
      </c>
      <c r="D34" s="2" t="inlineStr">
        <is>
          <t>평생교육원</t>
        </is>
      </c>
      <c r="E34" s="2" t="inlineStr">
        <is>
          <t>강사인증/등록</t>
        </is>
      </c>
      <c r="F34" s="2" t="inlineStr">
        <is>
          <t>창원시 평생학습정보망 강사등록 안내</t>
        </is>
      </c>
      <c r="G34" s="2" t="inlineStr"/>
      <c r="H34" s="3" t="inlineStr">
        <is>
          <t>https://www.kyungnam.ac.kr/cce/3489/subview.do?enc=Zm5jdDF8QEB8JTJGYmJzJTJGY2NlJTJGMjQxJTJGMTgxMzkxJTJGYXJ0Y2xWaWV3LmRvJTNG</t>
        </is>
      </c>
      <c r="I34" s="2" t="inlineStr">
        <is>
          <t>창원시 평생학습정보망(강사은행) 강사 등록 방법 안내.</t>
        </is>
      </c>
      <c r="J34" s="2" t="inlineStr">
        <is>
          <t>공지사항</t>
        </is>
      </c>
      <c r="K34" s="2" t="inlineStr">
        <is>
          <t>web_search</t>
        </is>
      </c>
      <c r="L34" s="2" t="inlineStr">
        <is>
          <t>medium</t>
        </is>
      </c>
      <c r="M34" s="2" t="inlineStr">
        <is>
          <t>2026-09-21</t>
        </is>
      </c>
    </row>
    <row r="35">
      <c r="A35" s="2" t="n">
        <v>34</v>
      </c>
      <c r="B35" s="2" t="inlineStr">
        <is>
          <t>경남</t>
        </is>
      </c>
      <c r="C35" s="2" t="inlineStr">
        <is>
          <t>경남대학교</t>
        </is>
      </c>
      <c r="D35" s="2" t="inlineStr">
        <is>
          <t>평생교육원</t>
        </is>
      </c>
      <c r="E35" s="2" t="inlineStr">
        <is>
          <t>강사모집</t>
        </is>
      </c>
      <c r="F35" s="2" t="inlineStr">
        <is>
          <t>2026년 여름방학특강 개설 교강사 모집</t>
        </is>
      </c>
      <c r="G35" s="2" t="inlineStr">
        <is>
          <t>2026</t>
        </is>
      </c>
      <c r="H35" s="3" t="inlineStr">
        <is>
          <t>https://www.kyungnam.ac.kr/cce/14630/subview.do</t>
        </is>
      </c>
      <c r="I35" s="2" t="inlineStr">
        <is>
          <t>평생교육원 채용공고 게시판에 게시. 문의 055-249-2720.</t>
        </is>
      </c>
      <c r="J35" s="2" t="inlineStr">
        <is>
          <t>채용공고</t>
        </is>
      </c>
      <c r="K35" s="2" t="inlineStr">
        <is>
          <t>web_search</t>
        </is>
      </c>
      <c r="L35" s="2" t="inlineStr">
        <is>
          <t>medium</t>
        </is>
      </c>
      <c r="M35" s="2" t="inlineStr">
        <is>
          <t>2026-09-21</t>
        </is>
      </c>
    </row>
    <row r="36">
      <c r="A36" s="2" t="n">
        <v>35</v>
      </c>
      <c r="B36" s="2" t="inlineStr">
        <is>
          <t>경남</t>
        </is>
      </c>
      <c r="C36" s="2" t="inlineStr">
        <is>
          <t>경상국립대학교</t>
        </is>
      </c>
      <c r="D36" s="2" t="inlineStr">
        <is>
          <t>평생교육원</t>
        </is>
      </c>
      <c r="E36" s="2" t="inlineStr">
        <is>
          <t>강좌개설신청</t>
        </is>
      </c>
      <c r="F36" s="2" t="inlineStr">
        <is>
          <t>[강사공지] 2026년도 2학기 강좌 개설 신청 안내</t>
        </is>
      </c>
      <c r="G36" s="2" t="inlineStr">
        <is>
          <t>2026-06-02</t>
        </is>
      </c>
      <c r="H36" s="3" t="inlineStr">
        <is>
          <t>https://longlife.gnu.ac.kr/sub.jsp?sID=0201</t>
        </is>
      </c>
      <c r="I36" s="2" t="inlineStr">
        <is>
          <t>2학기 강좌 개설(강사) 신청 안내. 홈페이지 '강좌개설신청' 메뉴로 접수.</t>
        </is>
      </c>
      <c r="J36" s="2" t="inlineStr">
        <is>
          <t>강사공지</t>
        </is>
      </c>
      <c r="K36" s="2" t="inlineStr">
        <is>
          <t>web_search</t>
        </is>
      </c>
      <c r="L36" s="2" t="inlineStr">
        <is>
          <t>high</t>
        </is>
      </c>
      <c r="M36" s="2" t="inlineStr">
        <is>
          <t>2026-09-21</t>
        </is>
      </c>
    </row>
    <row r="37">
      <c r="A37" s="2" t="n">
        <v>36</v>
      </c>
      <c r="B37" s="2" t="inlineStr">
        <is>
          <t>경남</t>
        </is>
      </c>
      <c r="C37" s="2" t="inlineStr">
        <is>
          <t>국립창원대학교</t>
        </is>
      </c>
      <c r="D37" s="2" t="inlineStr">
        <is>
          <t>평생교육원</t>
        </is>
      </c>
      <c r="E37" s="2" t="inlineStr">
        <is>
          <t>강사공지</t>
        </is>
      </c>
      <c r="F37" s="2" t="inlineStr">
        <is>
          <t>자료실 &gt; 강사 (강사용 서식·안내 게시판)</t>
        </is>
      </c>
      <c r="G37" s="2" t="inlineStr"/>
      <c r="H37" s="3" t="inlineStr">
        <is>
          <t>https://www.changwon.ac.kr/lifelong/na/ntt/selectNttList.do?mi=4771&amp;bbsId=1786</t>
        </is>
      </c>
      <c r="I37" s="2" t="inlineStr">
        <is>
          <t>강사 대상 서식·안내 게시판. 공개 강사모집 공고는 검색에서 미확인. 문의 055-213-2561~5.</t>
        </is>
      </c>
      <c r="J37" s="2" t="inlineStr">
        <is>
          <t>자료실</t>
        </is>
      </c>
      <c r="K37" s="2" t="inlineStr">
        <is>
          <t>web_search</t>
        </is>
      </c>
      <c r="L37" s="2" t="inlineStr">
        <is>
          <t>medium</t>
        </is>
      </c>
      <c r="M37" s="2" t="inlineStr">
        <is>
          <t>2026-09-21</t>
        </is>
      </c>
    </row>
    <row r="38">
      <c r="A38" s="2" t="n">
        <v>37</v>
      </c>
      <c r="B38" s="2" t="inlineStr">
        <is>
          <t>경남</t>
        </is>
      </c>
      <c r="C38" s="2" t="inlineStr">
        <is>
          <t>국립창원대학교</t>
        </is>
      </c>
      <c r="D38" s="2" t="inlineStr">
        <is>
          <t>평생교육원</t>
        </is>
      </c>
      <c r="E38" s="2" t="inlineStr">
        <is>
          <t>강좌개설신청</t>
        </is>
      </c>
      <c r="F38" s="2" t="inlineStr">
        <is>
          <t>2026학년도 제2학기 신규 개설강좌 공모</t>
        </is>
      </c>
      <c r="G38" s="2" t="inlineStr">
        <is>
          <t>2026-05-13</t>
        </is>
      </c>
      <c r="H38" s="3" t="inlineStr">
        <is>
          <t>https://www.changwon.ac.kr/lifelong/na/ntt/selectNttList.do?mi=4774&amp;bbsId=1787</t>
        </is>
      </c>
      <c r="I38" s="2" t="inlineStr"/>
      <c r="J38" s="2" t="inlineStr">
        <is>
          <t>공지사항</t>
        </is>
      </c>
      <c r="K38" s="2" t="inlineStr">
        <is>
          <t>scraper</t>
        </is>
      </c>
      <c r="L38" s="2" t="inlineStr">
        <is>
          <t>medium</t>
        </is>
      </c>
      <c r="M38" s="2" t="inlineStr">
        <is>
          <t>2026-09-21</t>
        </is>
      </c>
    </row>
    <row r="39">
      <c r="A39" s="2" t="n">
        <v>38</v>
      </c>
      <c r="B39" s="2" t="inlineStr">
        <is>
          <t>경남</t>
        </is>
      </c>
      <c r="C39" s="2" t="inlineStr">
        <is>
          <t>마산대학교</t>
        </is>
      </c>
      <c r="D39" s="2" t="inlineStr">
        <is>
          <t>평생교육원</t>
        </is>
      </c>
      <c r="E39" s="2" t="inlineStr">
        <is>
          <t>강좌개설신청</t>
        </is>
      </c>
      <c r="F39" s="2" t="inlineStr">
        <is>
          <t>강좌 개설 신청</t>
        </is>
      </c>
      <c r="G39" s="2" t="inlineStr"/>
      <c r="H39" s="3" t="inlineStr">
        <is>
          <t>https://lifelong.masan.ac.kr/lectopen</t>
        </is>
      </c>
      <c r="I39" s="2" t="inlineStr"/>
      <c r="J39" s="2" t="inlineStr">
        <is>
          <t>공지사항</t>
        </is>
      </c>
      <c r="K39" s="2" t="inlineStr">
        <is>
          <t>scraper</t>
        </is>
      </c>
      <c r="L39" s="2" t="inlineStr">
        <is>
          <t>high</t>
        </is>
      </c>
      <c r="M39" s="2" t="inlineStr">
        <is>
          <t>2026-09-21</t>
        </is>
      </c>
    </row>
    <row r="40">
      <c r="A40" s="2" t="n">
        <v>39</v>
      </c>
      <c r="B40" s="2" t="inlineStr">
        <is>
          <t>경남</t>
        </is>
      </c>
      <c r="C40" s="2" t="inlineStr">
        <is>
          <t>마산대학교</t>
        </is>
      </c>
      <c r="D40" s="2" t="inlineStr">
        <is>
          <t>평생교육원</t>
        </is>
      </c>
      <c r="E40" s="2" t="inlineStr">
        <is>
          <t>강좌개설신청</t>
        </is>
      </c>
      <c r="F40" s="2" t="inlineStr">
        <is>
          <t>[직업능력교육] 2025학년도 2학기 창원시 · 함안군 및 창녕군 위탁 평생교육과정 신규강좌 개설 제안 공모 안내 2025.06.12 14:56</t>
        </is>
      </c>
      <c r="G40" s="2" t="inlineStr">
        <is>
          <t>2025-06-12</t>
        </is>
      </c>
      <c r="H40" s="3" t="inlineStr">
        <is>
          <t>https://lifelong.masan.ac.kr/lectopen/view/2025/20/010/999/13</t>
        </is>
      </c>
      <c r="I40" s="2" t="inlineStr"/>
      <c r="J40" s="2" t="inlineStr">
        <is>
          <t>공지사항</t>
        </is>
      </c>
      <c r="K40" s="2" t="inlineStr">
        <is>
          <t>scraper</t>
        </is>
      </c>
      <c r="L40" s="2" t="inlineStr">
        <is>
          <t>high</t>
        </is>
      </c>
      <c r="M40" s="2" t="inlineStr">
        <is>
          <t>2026-09-21</t>
        </is>
      </c>
    </row>
    <row r="41">
      <c r="A41" s="2" t="n">
        <v>40</v>
      </c>
      <c r="B41" s="2" t="inlineStr">
        <is>
          <t>경남</t>
        </is>
      </c>
      <c r="C41" s="2" t="inlineStr">
        <is>
          <t>마산대학교</t>
        </is>
      </c>
      <c r="D41" s="2" t="inlineStr">
        <is>
          <t>평생교육원</t>
        </is>
      </c>
      <c r="E41" s="2" t="inlineStr">
        <is>
          <t>강좌개설신청</t>
        </is>
      </c>
      <c r="F41" s="2" t="inlineStr">
        <is>
          <t>[직업능력교육] 2026학년도 2학기 창원시 · 함안군 및 창녕군 위탁 평생교육과정 신규강좌 개설 제안 공모 안내 ※ 직업능력교육 과정 외 4개 과정 (인문교양교육, 인문교양교육-외국어, 문화예술교육, 문화예술교육-외국어) 지원 가능
[2026학년도 2학기 창원시 · 함안군 및 창녕군 위탁 평생교육과정 신규강좌 개설 제안 공모 안내]
2026학년도 2학기 마산대학교 평생교육원 신규강좌 개설 제안 공모를 아래와 같이 실시하오니 많은 신청 바랍니다.
Ⅰ. 강좌개설 신청
▷ 신청기간: 2026.06.01.(월) ~ 06.30.(화)
▷ 신청방법: e-mail 접수 ( gpdls6770@masan.ac.kr )
▷ 제출서류
1. 강의계획서 및 강사추천서(붙임서식)
2. 최종학위증명서, 강의경력증명서, 관련 자격증 등 증빙서류
※ 증빙서류 제출 가능한 경력만</t>
        </is>
      </c>
      <c r="G41" s="2" t="inlineStr">
        <is>
          <t>2026-06-01</t>
        </is>
      </c>
      <c r="H41" s="3" t="inlineStr">
        <is>
          <t>https://lifelong.masan.ac.kr/lectopen/view/2026/20/010/999/13</t>
        </is>
      </c>
      <c r="I41" s="2" t="inlineStr"/>
      <c r="J41" s="2" t="inlineStr">
        <is>
          <t>공지사항</t>
        </is>
      </c>
      <c r="K41" s="2" t="inlineStr">
        <is>
          <t>scraper</t>
        </is>
      </c>
      <c r="L41" s="2" t="inlineStr">
        <is>
          <t>high</t>
        </is>
      </c>
      <c r="M41" s="2" t="inlineStr">
        <is>
          <t>2026-09-21</t>
        </is>
      </c>
    </row>
    <row r="42">
      <c r="A42" s="2" t="n">
        <v>41</v>
      </c>
      <c r="B42" s="2" t="inlineStr">
        <is>
          <t>경남</t>
        </is>
      </c>
      <c r="C42" s="2" t="inlineStr">
        <is>
          <t>마산대학교</t>
        </is>
      </c>
      <c r="D42" s="2" t="inlineStr">
        <is>
          <t>평생교육원</t>
        </is>
      </c>
      <c r="E42" s="2" t="inlineStr">
        <is>
          <t>강좌개설신청</t>
        </is>
      </c>
      <c r="F42" s="2" t="inlineStr">
        <is>
          <t>신규강좌 개설제안</t>
        </is>
      </c>
      <c r="G42" s="2" t="inlineStr">
        <is>
          <t>2026-06-01</t>
        </is>
      </c>
      <c r="H42" s="3" t="inlineStr">
        <is>
          <t>https://lifelong.masan.ac.kr/main</t>
        </is>
      </c>
      <c r="I42" s="2" t="inlineStr"/>
      <c r="J42" s="2" t="inlineStr">
        <is>
          <t>공지사항</t>
        </is>
      </c>
      <c r="K42" s="2" t="inlineStr">
        <is>
          <t>scraper</t>
        </is>
      </c>
      <c r="L42" s="2" t="inlineStr">
        <is>
          <t>medium</t>
        </is>
      </c>
      <c r="M42" s="2" t="inlineStr">
        <is>
          <t>2026-09-21</t>
        </is>
      </c>
    </row>
    <row r="43">
      <c r="A43" s="2" t="n">
        <v>42</v>
      </c>
      <c r="B43" s="2" t="inlineStr">
        <is>
          <t>경남</t>
        </is>
      </c>
      <c r="C43" s="2" t="inlineStr">
        <is>
          <t>인제대학교</t>
        </is>
      </c>
      <c r="D43" s="2" t="inlineStr">
        <is>
          <t>대학 본부</t>
        </is>
      </c>
      <c r="E43" s="2" t="inlineStr">
        <is>
          <t>일반강사채용(참고)</t>
        </is>
      </c>
      <c r="F43" s="2" t="inlineStr">
        <is>
          <t>2026학년도 1학기 1차 강사 채용 공고</t>
        </is>
      </c>
      <c r="G43" s="2" t="inlineStr">
        <is>
          <t>2026</t>
        </is>
      </c>
      <c r="H43" s="3" t="inlineStr">
        <is>
          <t>https://www.jinhakpro.com/recruit/35038</t>
        </is>
      </c>
      <c r="I43" s="2" t="inlineStr">
        <is>
          <t>학부 강사 채용. 평생교육원 공고 아님.</t>
        </is>
      </c>
      <c r="J43" s="2" t="inlineStr">
        <is>
          <t>진학프로</t>
        </is>
      </c>
      <c r="K43" s="2" t="inlineStr">
        <is>
          <t>web_search</t>
        </is>
      </c>
      <c r="L43" s="2" t="inlineStr">
        <is>
          <t>high</t>
        </is>
      </c>
      <c r="M43" s="2" t="inlineStr">
        <is>
          <t>2026-09-21</t>
        </is>
      </c>
    </row>
    <row r="44">
      <c r="A44" s="2" t="n">
        <v>43</v>
      </c>
      <c r="B44" s="2" t="inlineStr">
        <is>
          <t>경남</t>
        </is>
      </c>
      <c r="C44" s="2" t="inlineStr">
        <is>
          <t>진주보건대학교</t>
        </is>
      </c>
      <c r="D44" s="2" t="inlineStr">
        <is>
          <t>평생교육원</t>
        </is>
      </c>
      <c r="E44" s="2" t="inlineStr">
        <is>
          <t>강좌개설신청</t>
        </is>
      </c>
      <c r="F44" s="2" t="inlineStr">
        <is>
          <t>2026학년도 2학기 진주보건대학교 평생교육원 강좌 개설 신청 공고</t>
        </is>
      </c>
      <c r="G44" s="2" t="inlineStr">
        <is>
          <t>2026-07-14</t>
        </is>
      </c>
      <c r="H44" s="3" t="inlineStr">
        <is>
          <t>https://lifelong.jhc.ac.kr/bbs/board.php?bo_table=sub4_1&amp;wr_id=527</t>
        </is>
      </c>
      <c r="I44" s="2" t="inlineStr"/>
      <c r="J44" s="2" t="inlineStr">
        <is>
          <t>공지사항</t>
        </is>
      </c>
      <c r="K44" s="2" t="inlineStr">
        <is>
          <t>scraper</t>
        </is>
      </c>
      <c r="L44" s="2" t="inlineStr">
        <is>
          <t>high</t>
        </is>
      </c>
      <c r="M44" s="2" t="inlineStr">
        <is>
          <t>2026-09-21</t>
        </is>
      </c>
    </row>
  </sheetData>
  <autoFilter ref="A1:M4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36" customWidth="1" min="4" max="4"/>
    <col width="60" customWidth="1" min="5" max="5"/>
    <col width="20" customWidth="1" min="6" max="6"/>
    <col width="26" customWidth="1" min="7" max="7"/>
    <col width="12" customWidth="1" min="8" max="8"/>
  </cols>
  <sheetData>
    <row r="1">
      <c r="A1" s="1" t="inlineStr">
        <is>
          <t>지역</t>
        </is>
      </c>
      <c r="B1" s="1" t="inlineStr">
        <is>
          <t>대학</t>
        </is>
      </c>
      <c r="C1" s="1" t="inlineStr">
        <is>
          <t>기관</t>
        </is>
      </c>
      <c r="D1" s="1" t="inlineStr">
        <is>
          <t>홈페이지</t>
        </is>
      </c>
      <c r="E1" s="1" t="inlineStr">
        <is>
          <t>공고 게시판</t>
        </is>
      </c>
      <c r="F1" s="1" t="inlineStr">
        <is>
          <t>전화</t>
        </is>
      </c>
      <c r="G1" s="1" t="inlineStr">
        <is>
          <t>이메일</t>
        </is>
      </c>
      <c r="H1" s="1" t="inlineStr">
        <is>
          <t>수집 공고 수(참고 제외)</t>
        </is>
      </c>
    </row>
    <row r="2">
      <c r="A2" s="2" t="inlineStr">
        <is>
          <t>부산</t>
        </is>
      </c>
      <c r="B2" s="2" t="inlineStr">
        <is>
          <t>경남정보대학교</t>
        </is>
      </c>
      <c r="C2" s="2" t="inlineStr">
        <is>
          <t>평생교육원</t>
        </is>
      </c>
      <c r="D2" s="3" t="inlineStr">
        <is>
          <t>https://cei.kit.ac.kr/cei/</t>
        </is>
      </c>
      <c r="E2" s="2" t="inlineStr">
        <is>
          <t>공지사항: https://cei.kit.ac.kr/cei/?pCode=MN0000028</t>
        </is>
      </c>
      <c r="F2" s="2" t="inlineStr">
        <is>
          <t>051-320-1367</t>
        </is>
      </c>
      <c r="G2" s="2" t="inlineStr"/>
      <c r="H2" s="2">
        <f>COUNTIFS(공고목록!$C:$C,B2,공고목록!$E:$E,"&lt;&gt;일반강사채용(참고)")</f>
        <v/>
      </c>
    </row>
    <row r="3">
      <c r="A3" s="2" t="inlineStr">
        <is>
          <t>부산</t>
        </is>
      </c>
      <c r="B3" s="2" t="inlineStr">
        <is>
          <t>경성대학교</t>
        </is>
      </c>
      <c r="C3" s="2" t="inlineStr">
        <is>
          <t>평생교육원</t>
        </is>
      </c>
      <c r="D3" s="3" t="inlineStr">
        <is>
          <t>https://cms1.ks.ac.kr/kscec/Main.do</t>
        </is>
      </c>
      <c r="E3" s="2" t="inlineStr">
        <is>
          <t>평생교육원 소식: https://cms1.ks.ac.kr/kscec/bbs/list.do?mId=0208000000&amp;ptIdx=201</t>
        </is>
      </c>
      <c r="F3" s="2" t="inlineStr">
        <is>
          <t>051-663-5311~7</t>
        </is>
      </c>
      <c r="G3" s="2" t="inlineStr"/>
      <c r="H3" s="2">
        <f>COUNTIFS(공고목록!$C:$C,B3,공고목록!$E:$E,"&lt;&gt;일반강사채용(참고)")</f>
        <v/>
      </c>
    </row>
    <row r="4">
      <c r="A4" s="2" t="inlineStr">
        <is>
          <t>부산</t>
        </is>
      </c>
      <c r="B4" s="2" t="inlineStr">
        <is>
          <t>고신대학교</t>
        </is>
      </c>
      <c r="C4" s="2" t="inlineStr">
        <is>
          <t>평생교육원</t>
        </is>
      </c>
      <c r="D4" s="3" t="inlineStr">
        <is>
          <t>https://kosinedu.com/</t>
        </is>
      </c>
      <c r="E4" s="2" t="inlineStr">
        <is>
          <t>공지사항(학점은행제): https://kosinedu.com/index.php?mid=sub04_1&amp;order_type=desc</t>
        </is>
      </c>
      <c r="F4" s="2" t="inlineStr">
        <is>
          <t>051-990-2260, 2219</t>
        </is>
      </c>
      <c r="G4" s="2" t="inlineStr"/>
      <c r="H4" s="2">
        <f>COUNTIFS(공고목록!$C:$C,B4,공고목록!$E:$E,"&lt;&gt;일반강사채용(참고)")</f>
        <v/>
      </c>
    </row>
    <row r="5">
      <c r="A5" s="2" t="inlineStr">
        <is>
          <t>부산</t>
        </is>
      </c>
      <c r="B5" s="2" t="inlineStr">
        <is>
          <t>국립부경대학교</t>
        </is>
      </c>
      <c r="C5" s="2" t="inlineStr">
        <is>
          <t>평생교육원</t>
        </is>
      </c>
      <c r="D5" s="3" t="inlineStr">
        <is>
          <t>http://ps.pknu.ac.kr/</t>
        </is>
      </c>
      <c r="E5" s="2" t="inlineStr">
        <is>
          <t>대학 공지사항: https://www.pknu.ac.kr/main/163</t>
        </is>
      </c>
      <c r="F5" s="2" t="inlineStr">
        <is>
          <t>051-629-6791</t>
        </is>
      </c>
      <c r="G5" s="2" t="inlineStr"/>
      <c r="H5" s="2">
        <f>COUNTIFS(공고목록!$C:$C,B5,공고목록!$E:$E,"&lt;&gt;일반강사채용(참고)")</f>
        <v/>
      </c>
    </row>
    <row r="6">
      <c r="A6" s="2" t="inlineStr">
        <is>
          <t>부산</t>
        </is>
      </c>
      <c r="B6" s="2" t="inlineStr">
        <is>
          <t>국립한국해양대학교</t>
        </is>
      </c>
      <c r="C6" s="2" t="inlineStr">
        <is>
          <t>평생교육원</t>
        </is>
      </c>
      <c r="D6" s="3" t="inlineStr">
        <is>
          <t>https://www.kmou.ac.kr/edu/main.do</t>
        </is>
      </c>
      <c r="E6" s="2" t="inlineStr">
        <is>
          <t>공지사항: https://www.kmou.ac.kr/edu/na/ntt/selectNttList.do?mi=3299&amp;bbsId=1027</t>
        </is>
      </c>
      <c r="F6" s="2" t="inlineStr"/>
      <c r="G6" s="2" t="inlineStr"/>
      <c r="H6" s="2">
        <f>COUNTIFS(공고목록!$C:$C,B6,공고목록!$E:$E,"&lt;&gt;일반강사채용(참고)")</f>
        <v/>
      </c>
    </row>
    <row r="7">
      <c r="A7" s="2" t="inlineStr">
        <is>
          <t>부산</t>
        </is>
      </c>
      <c r="B7" s="2" t="inlineStr">
        <is>
          <t>동서대학교</t>
        </is>
      </c>
      <c r="C7" s="2" t="inlineStr">
        <is>
          <t>평생교육원</t>
        </is>
      </c>
      <c r="D7" s="3" t="inlineStr">
        <is>
          <t>https://uni.dongseo.ac.kr/continuing/</t>
        </is>
      </c>
      <c r="E7" s="2" t="inlineStr">
        <is>
          <t>대학 모집공고: https://www.dongseo.ac.kr/kr/index.php?pCode=MN2000197&amp;CgCode=A5</t>
        </is>
      </c>
      <c r="F7" s="2" t="inlineStr"/>
      <c r="G7" s="2" t="inlineStr"/>
      <c r="H7" s="2">
        <f>COUNTIFS(공고목록!$C:$C,B7,공고목록!$E:$E,"&lt;&gt;일반강사채용(참고)")</f>
        <v/>
      </c>
    </row>
    <row r="8">
      <c r="A8" s="2" t="inlineStr">
        <is>
          <t>부산</t>
        </is>
      </c>
      <c r="B8" s="2" t="inlineStr">
        <is>
          <t>동아대학교</t>
        </is>
      </c>
      <c r="C8" s="2" t="inlineStr">
        <is>
          <t>평생교육원</t>
        </is>
      </c>
      <c r="D8" s="3" t="inlineStr">
        <is>
          <t>https://donga-edu.donga.ac.kr/</t>
        </is>
      </c>
      <c r="E8" s="2" t="inlineStr">
        <is>
          <t>공지사항: https://donga-edu.donga.ac.kr/main/main.aspx</t>
        </is>
      </c>
      <c r="F8" s="2" t="inlineStr">
        <is>
          <t>051-200-8452~6</t>
        </is>
      </c>
      <c r="G8" s="2" t="inlineStr"/>
      <c r="H8" s="2">
        <f>COUNTIFS(공고목록!$C:$C,B8,공고목록!$E:$E,"&lt;&gt;일반강사채용(참고)")</f>
        <v/>
      </c>
    </row>
    <row r="9">
      <c r="A9" s="2" t="inlineStr">
        <is>
          <t>부산</t>
        </is>
      </c>
      <c r="B9" s="2" t="inlineStr">
        <is>
          <t>동의과학대학교</t>
        </is>
      </c>
      <c r="C9" s="2" t="inlineStr">
        <is>
          <t>평생교육원</t>
        </is>
      </c>
      <c r="D9" s="3" t="inlineStr">
        <is>
          <t>https://ce.dit.ac.kr/dit/</t>
        </is>
      </c>
      <c r="E9" s="2" t="inlineStr">
        <is>
          <t>공지사항: https://ce.dit.ac.kr/dit/?pCode=MN0000014
대학 공지사항: https://m.dit.ac.kr/kr/?pCode=notice</t>
        </is>
      </c>
      <c r="F9" s="2" t="inlineStr"/>
      <c r="G9" s="2" t="inlineStr"/>
      <c r="H9" s="2">
        <f>COUNTIFS(공고목록!$C:$C,B9,공고목록!$E:$E,"&lt;&gt;일반강사채용(참고)")</f>
        <v/>
      </c>
    </row>
    <row r="10">
      <c r="A10" s="2" t="inlineStr">
        <is>
          <t>부산</t>
        </is>
      </c>
      <c r="B10" s="2" t="inlineStr">
        <is>
          <t>동의대학교</t>
        </is>
      </c>
      <c r="C10" s="2" t="inlineStr">
        <is>
          <t>평생교육원(미래교육원)</t>
        </is>
      </c>
      <c r="D10" s="3" t="inlineStr">
        <is>
          <t>https://lifelong.deu.ac.kr/</t>
        </is>
      </c>
      <c r="E10" s="2" t="inlineStr">
        <is>
          <t>공지사항: https://lifelong.deu.ac.kr/Board/BoardList.aspx?BoardMstNo=1&amp;MENU_ID=141</t>
        </is>
      </c>
      <c r="F10" s="2" t="inlineStr">
        <is>
          <t>051-890-1947~8</t>
        </is>
      </c>
      <c r="G10" s="2" t="inlineStr"/>
      <c r="H10" s="2">
        <f>COUNTIFS(공고목록!$C:$C,B10,공고목록!$E:$E,"&lt;&gt;일반강사채용(참고)")</f>
        <v/>
      </c>
    </row>
    <row r="11">
      <c r="A11" s="2" t="inlineStr">
        <is>
          <t>부산</t>
        </is>
      </c>
      <c r="B11" s="2" t="inlineStr">
        <is>
          <t>부산가톨릭대학교</t>
        </is>
      </c>
      <c r="C11" s="2" t="inlineStr">
        <is>
          <t>평생교육원</t>
        </is>
      </c>
      <c r="D11" s="3" t="inlineStr">
        <is>
          <t>https://edu.cup.ac.kr/</t>
        </is>
      </c>
      <c r="E11" s="2" t="inlineStr">
        <is>
          <t>공지사항: https://edu.cup.ac.kr/</t>
        </is>
      </c>
      <c r="F11" s="2" t="inlineStr">
        <is>
          <t>051-519-0492~4</t>
        </is>
      </c>
      <c r="G11" s="2" t="inlineStr"/>
      <c r="H11" s="2">
        <f>COUNTIFS(공고목록!$C:$C,B11,공고목록!$E:$E,"&lt;&gt;일반강사채용(참고)")</f>
        <v/>
      </c>
    </row>
    <row r="12">
      <c r="A12" s="2" t="inlineStr">
        <is>
          <t>부산</t>
        </is>
      </c>
      <c r="B12" s="2" t="inlineStr">
        <is>
          <t>부산경상대학교</t>
        </is>
      </c>
      <c r="C12" s="2" t="inlineStr">
        <is>
          <t>평생교육원</t>
        </is>
      </c>
      <c r="D12" s="3" t="inlineStr">
        <is>
          <t>https://www.bsks.ac.kr/</t>
        </is>
      </c>
      <c r="E12" s="2" t="inlineStr">
        <is>
          <t>(게시판 URL 미확인)</t>
        </is>
      </c>
      <c r="F12" s="2" t="inlineStr"/>
      <c r="G12" s="2" t="inlineStr"/>
      <c r="H12" s="2">
        <f>COUNTIFS(공고목록!$C:$C,B12,공고목록!$E:$E,"&lt;&gt;일반강사채용(참고)")</f>
        <v/>
      </c>
    </row>
    <row r="13">
      <c r="A13" s="2" t="inlineStr">
        <is>
          <t>부산</t>
        </is>
      </c>
      <c r="B13" s="2" t="inlineStr">
        <is>
          <t>부산과학기술대학교</t>
        </is>
      </c>
      <c r="C13" s="2" t="inlineStr">
        <is>
          <t>평생교육원</t>
        </is>
      </c>
      <c r="D13" s="3" t="inlineStr">
        <is>
          <t>https://life.bist.ac.kr/</t>
        </is>
      </c>
      <c r="E13" s="2" t="inlineStr">
        <is>
          <t>공지사항: https://life.bist.ac.kr/</t>
        </is>
      </c>
      <c r="F13" s="2" t="inlineStr"/>
      <c r="G13" s="2" t="inlineStr"/>
      <c r="H13" s="2">
        <f>COUNTIFS(공고목록!$C:$C,B13,공고목록!$E:$E,"&lt;&gt;일반강사채용(참고)")</f>
        <v/>
      </c>
    </row>
    <row r="14">
      <c r="A14" s="2" t="inlineStr">
        <is>
          <t>부산</t>
        </is>
      </c>
      <c r="B14" s="2" t="inlineStr">
        <is>
          <t>부산교육대학교</t>
        </is>
      </c>
      <c r="C14" s="2" t="inlineStr">
        <is>
          <t>평생교육원</t>
        </is>
      </c>
      <c r="D14" s="3" t="inlineStr">
        <is>
          <t>https://www.bnue.ac.kr/</t>
        </is>
      </c>
      <c r="E14" s="2" t="inlineStr">
        <is>
          <t>신청포털: https://apply.bnue.ac.kr/home/main</t>
        </is>
      </c>
      <c r="F14" s="2" t="inlineStr"/>
      <c r="G14" s="2" t="inlineStr"/>
      <c r="H14" s="2">
        <f>COUNTIFS(공고목록!$C:$C,B14,공고목록!$E:$E,"&lt;&gt;일반강사채용(참고)")</f>
        <v/>
      </c>
    </row>
    <row r="15">
      <c r="A15" s="2" t="inlineStr">
        <is>
          <t>부산</t>
        </is>
      </c>
      <c r="B15" s="2" t="inlineStr">
        <is>
          <t>부산대학교</t>
        </is>
      </c>
      <c r="C15" s="2" t="inlineStr">
        <is>
          <t>미래시민교육원(舊 평생교육원)</t>
        </is>
      </c>
      <c r="D15" s="3" t="inlineStr">
        <is>
          <t>https://sce.pusan.ac.kr/</t>
        </is>
      </c>
      <c r="E15" s="2" t="inlineStr">
        <is>
          <t>공지사항: https://d-sce.pusan.ac.kr/kor/CMS/Board/Board.do?mCode=MN052
공지사항(bce): https://bce.pusan.ac.kr/bce/index.do</t>
        </is>
      </c>
      <c r="F15" s="2" t="inlineStr">
        <is>
          <t>051-510-1234~5, 1353~4</t>
        </is>
      </c>
      <c r="G15" s="2" t="inlineStr"/>
      <c r="H15" s="2">
        <f>COUNTIFS(공고목록!$C:$C,B15,공고목록!$E:$E,"&lt;&gt;일반강사채용(참고)")</f>
        <v/>
      </c>
    </row>
    <row r="16">
      <c r="A16" s="2" t="inlineStr">
        <is>
          <t>부산</t>
        </is>
      </c>
      <c r="B16" s="2" t="inlineStr">
        <is>
          <t>부산디지털대학교</t>
        </is>
      </c>
      <c r="C16" s="2" t="inlineStr">
        <is>
          <t>평생교육원</t>
        </is>
      </c>
      <c r="D16" s="3" t="inlineStr">
        <is>
          <t>http://www.bdu.ac.kr/edulife/index.do</t>
        </is>
      </c>
      <c r="E16" s="2" t="inlineStr">
        <is>
          <t>대학 공지: https://www.bdu.ac.kr/bduhome/sub03_06_03_01.do</t>
        </is>
      </c>
      <c r="F16" s="2" t="inlineStr"/>
      <c r="G16" s="2" t="inlineStr"/>
      <c r="H16" s="2">
        <f>COUNTIFS(공고목록!$C:$C,B16,공고목록!$E:$E,"&lt;&gt;일반강사채용(참고)")</f>
        <v/>
      </c>
    </row>
    <row r="17">
      <c r="A17" s="2" t="inlineStr">
        <is>
          <t>부산</t>
        </is>
      </c>
      <c r="B17" s="2" t="inlineStr">
        <is>
          <t>부산보건대학교</t>
        </is>
      </c>
      <c r="C17" s="2" t="inlineStr">
        <is>
          <t>평생교육원</t>
        </is>
      </c>
      <c r="D17" s="3" t="inlineStr">
        <is>
          <t>https://life.bhu.ac.kr/</t>
        </is>
      </c>
      <c r="E17" s="2" t="inlineStr">
        <is>
          <t>공지사항: https://life.bhu.ac.kr/Board/BoardList.aspx?BoardMstNo=1&amp;MENU_ID=24</t>
        </is>
      </c>
      <c r="F17" s="2" t="inlineStr">
        <is>
          <t>051-200-3244, 1528</t>
        </is>
      </c>
      <c r="G17" s="2" t="inlineStr"/>
      <c r="H17" s="2">
        <f>COUNTIFS(공고목록!$C:$C,B17,공고목록!$E:$E,"&lt;&gt;일반강사채용(참고)")</f>
        <v/>
      </c>
    </row>
    <row r="18">
      <c r="A18" s="2" t="inlineStr">
        <is>
          <t>부산</t>
        </is>
      </c>
      <c r="B18" s="2" t="inlineStr">
        <is>
          <t>부산여자대학교</t>
        </is>
      </c>
      <c r="C18" s="2" t="inlineStr">
        <is>
          <t>평생교육원</t>
        </is>
      </c>
      <c r="D18" s="3" t="inlineStr">
        <is>
          <t>https://www.bwc.ac.kr/</t>
        </is>
      </c>
      <c r="E18" s="2" t="inlineStr">
        <is>
          <t>(게시판 URL 미확인)</t>
        </is>
      </c>
      <c r="F18" s="2" t="inlineStr"/>
      <c r="G18" s="2" t="inlineStr"/>
      <c r="H18" s="2">
        <f>COUNTIFS(공고목록!$C:$C,B18,공고목록!$E:$E,"&lt;&gt;일반강사채용(참고)")</f>
        <v/>
      </c>
    </row>
    <row r="19">
      <c r="A19" s="2" t="inlineStr">
        <is>
          <t>부산</t>
        </is>
      </c>
      <c r="B19" s="2" t="inlineStr">
        <is>
          <t>부산예술대학교</t>
        </is>
      </c>
      <c r="C19" s="2" t="inlineStr">
        <is>
          <t>평생교육원</t>
        </is>
      </c>
      <c r="D19" s="3" t="inlineStr">
        <is>
          <t>https://pia-edu.com/</t>
        </is>
      </c>
      <c r="E19" s="2" t="inlineStr">
        <is>
          <t>공지사항: https://pia-edu.com/notice/</t>
        </is>
      </c>
      <c r="F19" s="2" t="inlineStr">
        <is>
          <t>051-622-0056, 051-628-3990</t>
        </is>
      </c>
      <c r="G19" s="2" t="inlineStr"/>
      <c r="H19" s="2">
        <f>COUNTIFS(공고목록!$C:$C,B19,공고목록!$E:$E,"&lt;&gt;일반강사채용(참고)")</f>
        <v/>
      </c>
    </row>
    <row r="20">
      <c r="A20" s="2" t="inlineStr">
        <is>
          <t>부산</t>
        </is>
      </c>
      <c r="B20" s="2" t="inlineStr">
        <is>
          <t>부산외국어대학교</t>
        </is>
      </c>
      <c r="C20" s="2" t="inlineStr">
        <is>
          <t>평생교육원</t>
        </is>
      </c>
      <c r="D20" s="3" t="inlineStr">
        <is>
          <t>https://lec.bufs.ac.kr/</t>
        </is>
      </c>
      <c r="E20" s="2" t="inlineStr">
        <is>
          <t>공지사항: https://lec.bufs.ac.kr/lec/index.php?pCode=MN000017</t>
        </is>
      </c>
      <c r="F20" s="2" t="inlineStr"/>
      <c r="G20" s="2" t="inlineStr"/>
      <c r="H20" s="2">
        <f>COUNTIFS(공고목록!$C:$C,B20,공고목록!$E:$E,"&lt;&gt;일반강사채용(참고)")</f>
        <v/>
      </c>
    </row>
    <row r="21">
      <c r="A21" s="2" t="inlineStr">
        <is>
          <t>부산</t>
        </is>
      </c>
      <c r="B21" s="2" t="inlineStr">
        <is>
          <t>신라대학교</t>
        </is>
      </c>
      <c r="C21" s="2" t="inlineStr">
        <is>
          <t>평생교육원</t>
        </is>
      </c>
      <c r="D21" s="3" t="inlineStr">
        <is>
          <t>https://soc.silla.ac.kr/</t>
        </is>
      </c>
      <c r="E21" s="2" t="inlineStr">
        <is>
          <t>공지사항: https://soc.silla.ac.kr/</t>
        </is>
      </c>
      <c r="F21" s="2" t="inlineStr"/>
      <c r="G21" s="2" t="inlineStr"/>
      <c r="H21" s="2">
        <f>COUNTIFS(공고목록!$C:$C,B21,공고목록!$E:$E,"&lt;&gt;일반강사채용(참고)")</f>
        <v/>
      </c>
    </row>
    <row r="22">
      <c r="A22" s="2" t="inlineStr">
        <is>
          <t>부산</t>
        </is>
      </c>
      <c r="B22" s="2" t="inlineStr">
        <is>
          <t>영산대학교</t>
        </is>
      </c>
      <c r="C22" s="2" t="inlineStr">
        <is>
          <t>평생교육원(해운대/양산)</t>
        </is>
      </c>
      <c r="D22" s="3" t="inlineStr">
        <is>
          <t>https://ysedu.ysu.ac.kr/</t>
        </is>
      </c>
      <c r="E22" s="2" t="inlineStr">
        <is>
          <t>공지사항: https://ysedu.ysu.ac.kr/board/notice_edu/list.asp</t>
        </is>
      </c>
      <c r="F22" s="2" t="inlineStr">
        <is>
          <t>051-540-7045, 7265</t>
        </is>
      </c>
      <c r="G22" s="2" t="inlineStr"/>
      <c r="H22" s="2">
        <f>COUNTIFS(공고목록!$C:$C,B22,공고목록!$E:$E,"&lt;&gt;일반강사채용(참고)")</f>
        <v/>
      </c>
    </row>
    <row r="23">
      <c r="A23" s="2" t="inlineStr">
        <is>
          <t>울산</t>
        </is>
      </c>
      <c r="B23" s="2" t="inlineStr">
        <is>
          <t>울산과학대학교</t>
        </is>
      </c>
      <c r="C23" s="2" t="inlineStr">
        <is>
          <t>평생교육원</t>
        </is>
      </c>
      <c r="D23" s="3" t="inlineStr">
        <is>
          <t>https://www.uc.ac.kr/edu/</t>
        </is>
      </c>
      <c r="E23" s="2" t="inlineStr">
        <is>
          <t>공지사항: https://edu.uc.ac.kr/edu/Main.do
대학 채용공고: https://www.uc.ac.kr/www/index.php?pCode=job_01</t>
        </is>
      </c>
      <c r="F23" s="2" t="inlineStr">
        <is>
          <t>052-230-0822</t>
        </is>
      </c>
      <c r="G23" s="2" t="inlineStr"/>
      <c r="H23" s="2">
        <f>COUNTIFS(공고목록!$C:$C,B23,공고목록!$E:$E,"&lt;&gt;일반강사채용(참고)")</f>
        <v/>
      </c>
    </row>
    <row r="24">
      <c r="A24" s="2" t="inlineStr">
        <is>
          <t>울산</t>
        </is>
      </c>
      <c r="B24" s="2" t="inlineStr">
        <is>
          <t>울산대학교</t>
        </is>
      </c>
      <c r="C24" s="2" t="inlineStr">
        <is>
          <t>평생교육원</t>
        </is>
      </c>
      <c r="D24" s="3" t="inlineStr">
        <is>
          <t>https://cec.ulsan.ac.kr/cec</t>
        </is>
      </c>
      <c r="E24" s="2" t="inlineStr">
        <is>
          <t>공지사항: https://cec.ulsan.ac.kr/cec/3978</t>
        </is>
      </c>
      <c r="F24" s="2" t="inlineStr">
        <is>
          <t>052-259-2018, 2020</t>
        </is>
      </c>
      <c r="G24" s="2" t="inlineStr">
        <is>
          <t>cec2020@mail.ulsan.ac.kr</t>
        </is>
      </c>
      <c r="H24" s="2">
        <f>COUNTIFS(공고목록!$C:$C,B24,공고목록!$E:$E,"&lt;&gt;일반강사채용(참고)")</f>
        <v/>
      </c>
    </row>
    <row r="25">
      <c r="A25" s="2" t="inlineStr">
        <is>
          <t>울산</t>
        </is>
      </c>
      <c r="B25" s="2" t="inlineStr">
        <is>
          <t>춘해보건대학교</t>
        </is>
      </c>
      <c r="C25" s="2" t="inlineStr">
        <is>
          <t>평생교육원</t>
        </is>
      </c>
      <c r="D25" s="3" t="inlineStr">
        <is>
          <t>https://edu.ch.ac.kr/</t>
        </is>
      </c>
      <c r="E25" s="2" t="inlineStr">
        <is>
          <t>공지사항: https://edu.ch.ac.kr/</t>
        </is>
      </c>
      <c r="F25" s="2" t="inlineStr"/>
      <c r="G25" s="2" t="inlineStr"/>
      <c r="H25" s="2">
        <f>COUNTIFS(공고목록!$C:$C,B25,공고목록!$E:$E,"&lt;&gt;일반강사채용(참고)")</f>
        <v/>
      </c>
    </row>
    <row r="26">
      <c r="A26" s="2" t="inlineStr">
        <is>
          <t>경남</t>
        </is>
      </c>
      <c r="B26" s="2" t="inlineStr">
        <is>
          <t>가야대학교</t>
        </is>
      </c>
      <c r="C26" s="2" t="inlineStr">
        <is>
          <t>평생교육원</t>
        </is>
      </c>
      <c r="D26" s="3" t="inlineStr">
        <is>
          <t>https://life.kaya.ac.kr/</t>
        </is>
      </c>
      <c r="E26" s="2" t="inlineStr">
        <is>
          <t>강사지원: https://life.kaya.ac.kr/pages/applicant/application.jsp</t>
        </is>
      </c>
      <c r="F26" s="2" t="inlineStr">
        <is>
          <t>055-344-5210</t>
        </is>
      </c>
      <c r="G26" s="2" t="inlineStr"/>
      <c r="H26" s="2">
        <f>COUNTIFS(공고목록!$C:$C,B26,공고목록!$E:$E,"&lt;&gt;일반강사채용(참고)")</f>
        <v/>
      </c>
    </row>
    <row r="27">
      <c r="A27" s="2" t="inlineStr">
        <is>
          <t>경남</t>
        </is>
      </c>
      <c r="B27" s="2" t="inlineStr">
        <is>
          <t>거제대학교</t>
        </is>
      </c>
      <c r="C27" s="2" t="inlineStr">
        <is>
          <t>평생교육원</t>
        </is>
      </c>
      <c r="D27" s="3" t="inlineStr">
        <is>
          <t>https://www.koje.ac.kr/</t>
        </is>
      </c>
      <c r="E27" s="2" t="inlineStr">
        <is>
          <t>(게시판 URL 미확인)</t>
        </is>
      </c>
      <c r="F27" s="2" t="inlineStr"/>
      <c r="G27" s="2" t="inlineStr"/>
      <c r="H27" s="2">
        <f>COUNTIFS(공고목록!$C:$C,B27,공고목록!$E:$E,"&lt;&gt;일반강사채용(참고)")</f>
        <v/>
      </c>
    </row>
    <row r="28">
      <c r="A28" s="2" t="inlineStr">
        <is>
          <t>경남</t>
        </is>
      </c>
      <c r="B28" s="2" t="inlineStr">
        <is>
          <t>경남대학교</t>
        </is>
      </c>
      <c r="C28" s="2" t="inlineStr">
        <is>
          <t>평생교육원</t>
        </is>
      </c>
      <c r="D28" s="3" t="inlineStr">
        <is>
          <t>https://www.kyungnam.ac.kr/sites/cce/index..do</t>
        </is>
      </c>
      <c r="E28" s="2" t="inlineStr">
        <is>
          <t>채용공고: https://www.kyungnam.ac.kr/cce/14630/subview.do
공지사항: https://www.kyungnam.ac.kr/cce/3489/subview.do</t>
        </is>
      </c>
      <c r="F28" s="2" t="inlineStr">
        <is>
          <t>055-249-2720</t>
        </is>
      </c>
      <c r="G28" s="2" t="inlineStr"/>
      <c r="H28" s="2">
        <f>COUNTIFS(공고목록!$C:$C,B28,공고목록!$E:$E,"&lt;&gt;일반강사채용(참고)")</f>
        <v/>
      </c>
    </row>
    <row r="29">
      <c r="A29" s="2" t="inlineStr">
        <is>
          <t>경남</t>
        </is>
      </c>
      <c r="B29" s="2" t="inlineStr">
        <is>
          <t>경상국립대학교</t>
        </is>
      </c>
      <c r="C29" s="2" t="inlineStr">
        <is>
          <t>평생교육원</t>
        </is>
      </c>
      <c r="D29" s="3" t="inlineStr">
        <is>
          <t>https://longlife.gnu.ac.kr/</t>
        </is>
      </c>
      <c r="E29" s="2" t="inlineStr">
        <is>
          <t>강사공지: https://longlife.gnu.ac.kr/sub.jsp?sID=0201</t>
        </is>
      </c>
      <c r="F29" s="2" t="inlineStr"/>
      <c r="G29" s="2" t="inlineStr"/>
      <c r="H29" s="2">
        <f>COUNTIFS(공고목록!$C:$C,B29,공고목록!$E:$E,"&lt;&gt;일반강사채용(참고)")</f>
        <v/>
      </c>
    </row>
    <row r="30">
      <c r="A30" s="2" t="inlineStr">
        <is>
          <t>경남</t>
        </is>
      </c>
      <c r="B30" s="2" t="inlineStr">
        <is>
          <t>국립창원대학교</t>
        </is>
      </c>
      <c r="C30" s="2" t="inlineStr">
        <is>
          <t>평생교육원</t>
        </is>
      </c>
      <c r="D30" s="3" t="inlineStr">
        <is>
          <t>https://www.changwon.ac.kr/lifelong/main.do</t>
        </is>
      </c>
      <c r="E30" s="2" t="inlineStr">
        <is>
          <t>공지사항: https://www.changwon.ac.kr/lifelong/na/ntt/selectNttList.do?mi=4774&amp;bbsId=1787
자료실&gt;강사: https://www.changwon.ac.kr/lifelong/na/ntt/selectNttList.do?mi=4771&amp;bbsId=1786</t>
        </is>
      </c>
      <c r="F30" s="2" t="inlineStr">
        <is>
          <t>055-213-2561~5</t>
        </is>
      </c>
      <c r="G30" s="2" t="inlineStr"/>
      <c r="H30" s="2">
        <f>COUNTIFS(공고목록!$C:$C,B30,공고목록!$E:$E,"&lt;&gt;일반강사채용(참고)")</f>
        <v/>
      </c>
    </row>
    <row r="31">
      <c r="A31" s="2" t="inlineStr">
        <is>
          <t>경남</t>
        </is>
      </c>
      <c r="B31" s="2" t="inlineStr">
        <is>
          <t>국립창원대학교 거창캠퍼스</t>
        </is>
      </c>
      <c r="C31" s="2" t="inlineStr">
        <is>
          <t>평생교육원</t>
        </is>
      </c>
      <c r="D31" s="3" t="inlineStr">
        <is>
          <t>https://psl.gc.ac.kr/M0101/</t>
        </is>
      </c>
      <c r="E31" s="2" t="inlineStr">
        <is>
          <t>(게시판 URL 미확인)</t>
        </is>
      </c>
      <c r="F31" s="2" t="inlineStr"/>
      <c r="G31" s="2" t="inlineStr"/>
      <c r="H31" s="2">
        <f>COUNTIFS(공고목록!$C:$C,B31,공고목록!$E:$E,"&lt;&gt;일반강사채용(참고)")</f>
        <v/>
      </c>
    </row>
    <row r="32">
      <c r="A32" s="2" t="inlineStr">
        <is>
          <t>경남</t>
        </is>
      </c>
      <c r="B32" s="2" t="inlineStr">
        <is>
          <t>김해대학교</t>
        </is>
      </c>
      <c r="C32" s="2" t="inlineStr">
        <is>
          <t>평생교육원</t>
        </is>
      </c>
      <c r="D32" s="3" t="inlineStr">
        <is>
          <t>https://www.gimhae.ac.kr/</t>
        </is>
      </c>
      <c r="E32" s="2" t="inlineStr">
        <is>
          <t>(게시판 URL 미확인)</t>
        </is>
      </c>
      <c r="F32" s="2" t="inlineStr"/>
      <c r="G32" s="2" t="inlineStr"/>
      <c r="H32" s="2">
        <f>COUNTIFS(공고목록!$C:$C,B32,공고목록!$E:$E,"&lt;&gt;일반강사채용(참고)")</f>
        <v/>
      </c>
    </row>
    <row r="33">
      <c r="A33" s="2" t="inlineStr">
        <is>
          <t>경남</t>
        </is>
      </c>
      <c r="B33" s="2" t="inlineStr">
        <is>
          <t>동원과학기술대학교</t>
        </is>
      </c>
      <c r="C33" s="2" t="inlineStr">
        <is>
          <t>평생교육원</t>
        </is>
      </c>
      <c r="D33" s="3" t="inlineStr">
        <is>
          <t>https://www.dongwon.ac.kr/</t>
        </is>
      </c>
      <c r="E33" s="2" t="inlineStr">
        <is>
          <t>(게시판 URL 미확인)</t>
        </is>
      </c>
      <c r="F33" s="2" t="inlineStr"/>
      <c r="G33" s="2" t="inlineStr"/>
      <c r="H33" s="2">
        <f>COUNTIFS(공고목록!$C:$C,B33,공고목록!$E:$E,"&lt;&gt;일반강사채용(참고)")</f>
        <v/>
      </c>
    </row>
    <row r="34">
      <c r="A34" s="2" t="inlineStr">
        <is>
          <t>경남</t>
        </is>
      </c>
      <c r="B34" s="2" t="inlineStr">
        <is>
          <t>마산대학교</t>
        </is>
      </c>
      <c r="C34" s="2" t="inlineStr">
        <is>
          <t>평생교육원</t>
        </is>
      </c>
      <c r="D34" s="3" t="inlineStr">
        <is>
          <t>https://lifelong.masan.ac.kr/main</t>
        </is>
      </c>
      <c r="E34" s="2" t="inlineStr">
        <is>
          <t>공지사항: https://lifelong.masan.ac.kr/main</t>
        </is>
      </c>
      <c r="F34" s="2" t="inlineStr"/>
      <c r="G34" s="2" t="inlineStr"/>
      <c r="H34" s="2">
        <f>COUNTIFS(공고목록!$C:$C,B34,공고목록!$E:$E,"&lt;&gt;일반강사채용(참고)")</f>
        <v/>
      </c>
    </row>
    <row r="35">
      <c r="A35" s="2" t="inlineStr">
        <is>
          <t>경남</t>
        </is>
      </c>
      <c r="B35" s="2" t="inlineStr">
        <is>
          <t>연암공과대학교</t>
        </is>
      </c>
      <c r="C35" s="2" t="inlineStr">
        <is>
          <t>평생교육원</t>
        </is>
      </c>
      <c r="D35" s="3" t="inlineStr">
        <is>
          <t>https://www.yc.ac.kr/</t>
        </is>
      </c>
      <c r="E35" s="2" t="inlineStr">
        <is>
          <t>(게시판 URL 미확인)</t>
        </is>
      </c>
      <c r="F35" s="2" t="inlineStr"/>
      <c r="G35" s="2" t="inlineStr"/>
      <c r="H35" s="2">
        <f>COUNTIFS(공고목록!$C:$C,B35,공고목록!$E:$E,"&lt;&gt;일반강사채용(참고)")</f>
        <v/>
      </c>
    </row>
    <row r="36">
      <c r="A36" s="2" t="inlineStr">
        <is>
          <t>경남</t>
        </is>
      </c>
      <c r="B36" s="2" t="inlineStr">
        <is>
          <t>인제대학교</t>
        </is>
      </c>
      <c r="C36" s="2" t="inlineStr">
        <is>
          <t>평생교육원(미래교육원)</t>
        </is>
      </c>
      <c r="D36" s="3" t="inlineStr">
        <is>
          <t>https://soc.inje.ac.kr/</t>
        </is>
      </c>
      <c r="E36" s="2" t="inlineStr">
        <is>
          <t>대학 모집/채용: https://www.inje.ac.kr/kor/Template/Bsub_page.asp?Ltype=5&amp;Ltype2=0&amp;Ltype3=0&amp;Tname=S_News&amp;Ldir=board/S_News&amp;div=8&amp;d1n=5&amp;d2n=1&amp;d3n=3&amp;d4n=0</t>
        </is>
      </c>
      <c r="F36" s="2" t="inlineStr"/>
      <c r="G36" s="2" t="inlineStr"/>
      <c r="H36" s="2">
        <f>COUNTIFS(공고목록!$C:$C,B36,공고목록!$E:$E,"&lt;&gt;일반강사채용(참고)")</f>
        <v/>
      </c>
    </row>
    <row r="37">
      <c r="A37" s="2" t="inlineStr">
        <is>
          <t>경남</t>
        </is>
      </c>
      <c r="B37" s="2" t="inlineStr">
        <is>
          <t>진주보건대학교</t>
        </is>
      </c>
      <c r="C37" s="2" t="inlineStr">
        <is>
          <t>평생교육원</t>
        </is>
      </c>
      <c r="D37" s="3" t="inlineStr">
        <is>
          <t>https://lifelong.jhc.ac.kr/</t>
        </is>
      </c>
      <c r="E37" s="2" t="inlineStr">
        <is>
          <t>공지사항: https://lifelong.jhc.ac.kr/bbs/board.php?bo_table=sub4_1</t>
        </is>
      </c>
      <c r="F37" s="2" t="inlineStr">
        <is>
          <t>055-740-1756</t>
        </is>
      </c>
      <c r="G37" s="2" t="inlineStr"/>
      <c r="H37" s="2">
        <f>COUNTIFS(공고목록!$C:$C,B37,공고목록!$E:$E,"&lt;&gt;일반강사채용(참고)")</f>
        <v/>
      </c>
    </row>
    <row r="38">
      <c r="A38" s="2" t="inlineStr">
        <is>
          <t>경남</t>
        </is>
      </c>
      <c r="B38" s="2" t="inlineStr">
        <is>
          <t>창신대학교</t>
        </is>
      </c>
      <c r="C38" s="2" t="inlineStr">
        <is>
          <t>평생교육원</t>
        </is>
      </c>
      <c r="D38" s="3" t="inlineStr">
        <is>
          <t>https://ice.cs.ac.kr/</t>
        </is>
      </c>
      <c r="E38" s="2" t="inlineStr">
        <is>
          <t>대학 공지사항: https://www.cs.ac.kr/post</t>
        </is>
      </c>
      <c r="F38" s="2" t="inlineStr">
        <is>
          <t>055-250-3050</t>
        </is>
      </c>
      <c r="G38" s="2" t="inlineStr"/>
      <c r="H38" s="2">
        <f>COUNTIFS(공고목록!$C:$C,B38,공고목록!$E:$E,"&lt;&gt;일반강사채용(참고)")</f>
        <v/>
      </c>
    </row>
    <row r="39">
      <c r="A39" s="2" t="inlineStr">
        <is>
          <t>경남</t>
        </is>
      </c>
      <c r="B39" s="2" t="inlineStr">
        <is>
          <t>창원문성대학교</t>
        </is>
      </c>
      <c r="C39" s="2" t="inlineStr">
        <is>
          <t>평생교육원</t>
        </is>
      </c>
      <c r="D39" s="3" t="inlineStr">
        <is>
          <t>https://www.cmu.ac.kr/</t>
        </is>
      </c>
      <c r="E39" s="2" t="inlineStr">
        <is>
          <t>(게시판 URL 미확인)</t>
        </is>
      </c>
      <c r="F39" s="2" t="inlineStr"/>
      <c r="G39" s="2" t="inlineStr"/>
      <c r="H39" s="2">
        <f>COUNTIFS(공고목록!$C:$C,B39,공고목록!$E:$E,"&lt;&gt;일반강사채용(참고)")</f>
        <v/>
      </c>
    </row>
  </sheetData>
  <autoFilter ref="A1:H39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4" t="inlineStr">
        <is>
          <t>지역 × 구분별 공고 건수 (공고목록 시트 기준 자동 집계)</t>
        </is>
      </c>
    </row>
    <row r="3" ht="30" customHeight="1">
      <c r="A3" s="1" t="inlineStr">
        <is>
          <t>지역</t>
        </is>
      </c>
      <c r="B3" s="1" t="inlineStr">
        <is>
          <t>강사모집</t>
        </is>
      </c>
      <c r="C3" s="1" t="inlineStr">
        <is>
          <t>강좌개설신청</t>
        </is>
      </c>
      <c r="D3" s="1" t="inlineStr">
        <is>
          <t>강좌개설공모</t>
        </is>
      </c>
      <c r="E3" s="1" t="inlineStr">
        <is>
          <t>강좌개설제안(상시)</t>
        </is>
      </c>
      <c r="F3" s="1" t="inlineStr">
        <is>
          <t>강사인증/등록</t>
        </is>
      </c>
      <c r="G3" s="1" t="inlineStr">
        <is>
          <t>강사공지</t>
        </is>
      </c>
      <c r="H3" s="1" t="inlineStr">
        <is>
          <t>일반강사채용(참고)</t>
        </is>
      </c>
      <c r="I3" s="1" t="inlineStr">
        <is>
          <t>합계</t>
        </is>
      </c>
    </row>
    <row r="4">
      <c r="A4" s="5" t="inlineStr">
        <is>
          <t>부산</t>
        </is>
      </c>
      <c r="B4" s="5">
        <f>COUNTIFS(공고목록!$B:$B,$A4,공고목록!$E:$E,B$3)</f>
        <v/>
      </c>
      <c r="C4" s="5">
        <f>COUNTIFS(공고목록!$B:$B,$A4,공고목록!$E:$E,C$3)</f>
        <v/>
      </c>
      <c r="D4" s="5">
        <f>COUNTIFS(공고목록!$B:$B,$A4,공고목록!$E:$E,D$3)</f>
        <v/>
      </c>
      <c r="E4" s="5">
        <f>COUNTIFS(공고목록!$B:$B,$A4,공고목록!$E:$E,E$3)</f>
        <v/>
      </c>
      <c r="F4" s="5">
        <f>COUNTIFS(공고목록!$B:$B,$A4,공고목록!$E:$E,F$3)</f>
        <v/>
      </c>
      <c r="G4" s="5">
        <f>COUNTIFS(공고목록!$B:$B,$A4,공고목록!$E:$E,G$3)</f>
        <v/>
      </c>
      <c r="H4" s="5">
        <f>COUNTIFS(공고목록!$B:$B,$A4,공고목록!$E:$E,H$3)</f>
        <v/>
      </c>
      <c r="I4" s="5">
        <f>SUM(B4:H4)</f>
        <v/>
      </c>
    </row>
    <row r="5">
      <c r="A5" s="5" t="inlineStr">
        <is>
          <t>울산</t>
        </is>
      </c>
      <c r="B5" s="5">
        <f>COUNTIFS(공고목록!$B:$B,$A5,공고목록!$E:$E,B$3)</f>
        <v/>
      </c>
      <c r="C5" s="5">
        <f>COUNTIFS(공고목록!$B:$B,$A5,공고목록!$E:$E,C$3)</f>
        <v/>
      </c>
      <c r="D5" s="5">
        <f>COUNTIFS(공고목록!$B:$B,$A5,공고목록!$E:$E,D$3)</f>
        <v/>
      </c>
      <c r="E5" s="5">
        <f>COUNTIFS(공고목록!$B:$B,$A5,공고목록!$E:$E,E$3)</f>
        <v/>
      </c>
      <c r="F5" s="5">
        <f>COUNTIFS(공고목록!$B:$B,$A5,공고목록!$E:$E,F$3)</f>
        <v/>
      </c>
      <c r="G5" s="5">
        <f>COUNTIFS(공고목록!$B:$B,$A5,공고목록!$E:$E,G$3)</f>
        <v/>
      </c>
      <c r="H5" s="5">
        <f>COUNTIFS(공고목록!$B:$B,$A5,공고목록!$E:$E,H$3)</f>
        <v/>
      </c>
      <c r="I5" s="5">
        <f>SUM(B5:H5)</f>
        <v/>
      </c>
    </row>
    <row r="6">
      <c r="A6" s="5" t="inlineStr">
        <is>
          <t>경남</t>
        </is>
      </c>
      <c r="B6" s="5">
        <f>COUNTIFS(공고목록!$B:$B,$A6,공고목록!$E:$E,B$3)</f>
        <v/>
      </c>
      <c r="C6" s="5">
        <f>COUNTIFS(공고목록!$B:$B,$A6,공고목록!$E:$E,C$3)</f>
        <v/>
      </c>
      <c r="D6" s="5">
        <f>COUNTIFS(공고목록!$B:$B,$A6,공고목록!$E:$E,D$3)</f>
        <v/>
      </c>
      <c r="E6" s="5">
        <f>COUNTIFS(공고목록!$B:$B,$A6,공고목록!$E:$E,E$3)</f>
        <v/>
      </c>
      <c r="F6" s="5">
        <f>COUNTIFS(공고목록!$B:$B,$A6,공고목록!$E:$E,F$3)</f>
        <v/>
      </c>
      <c r="G6" s="5">
        <f>COUNTIFS(공고목록!$B:$B,$A6,공고목록!$E:$E,G$3)</f>
        <v/>
      </c>
      <c r="H6" s="5">
        <f>COUNTIFS(공고목록!$B:$B,$A6,공고목록!$E:$E,H$3)</f>
        <v/>
      </c>
      <c r="I6" s="5">
        <f>SUM(B6:H6)</f>
        <v/>
      </c>
    </row>
    <row r="7">
      <c r="A7" s="6" t="inlineStr">
        <is>
          <t>합계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</row>
    <row r="9">
      <c r="A9" s="7" t="inlineStr">
        <is>
          <t>구분 설명</t>
        </is>
      </c>
    </row>
    <row r="10">
      <c r="A10" s="8" t="inlineStr">
        <is>
          <t>강사모집: 강사를 직접 공모하는 공고 / 강좌개설신청·공모: 강사가 강좌 개설을 신청하는 방식의 학기별 공고</t>
        </is>
      </c>
    </row>
    <row r="11">
      <c r="A11" s="8" t="inlineStr">
        <is>
          <t>강좌개설제안(상시): 공고 없이 홈페이지 메뉴로 상시 접수 / 강사인증/등록: 강사 풀 등록 / 강사공지: 기존 강사 대상 안내</t>
        </is>
      </c>
    </row>
    <row r="12">
      <c r="A12" s="8" t="inlineStr">
        <is>
          <t>일반강사채용(참고): 평생교육원이 아닌 대학 본부의 학부 강사·겸임교수 채용 (참고용)</t>
        </is>
      </c>
    </row>
    <row r="13">
      <c r="A13" s="8" t="inlineStr">
        <is>
          <t>신뢰도: high = 게시글 URL까지 확인, medium = 제목·게시판만 확인, low = 검색 스니펫으로만 확인</t>
        </is>
      </c>
    </row>
    <row r="14">
      <c r="A14" s="8" t="inlineStr">
        <is>
          <t>출처 web_search: 대학 도메인 직접 접속이 차단된 환경에서 웹 검색 결과로 수집 / scraper: 자동 수집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2026-09-21T07:33:31Z</dcterms:created>
  <dcterms:modified xmlns:dcterms="http://purl.org/dc/terms/" xmlns:xsi="http://www.w3.org/2001/XMLSchema-instance" xsi:type="dcterms:W3CDTF">2026-09-21T07:33:31Z</dcterms:modified>
</cp:coreProperties>
</file>