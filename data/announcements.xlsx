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고목록" sheetId="1" state="visible" r:id="rId3"/>
    <sheet name="기관목록" sheetId="2" state="visible" r:id="rId4"/>
    <sheet name="요약" sheetId="3" state="visible" r:id="rId5"/>
  </sheets>
  <definedNames>
    <definedName function="false" hidden="true" localSheetId="0" name="_xlnm._FilterDatabase" vbProcedure="false">공고목록!$A$1:$M$43</definedName>
    <definedName function="false" hidden="true" localSheetId="1" name="_xlnm._FilterDatabase" vbProcedure="false">기관목록!$A$1:$H$39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<sst xmlns="http://schemas.openxmlformats.org/spreadsheetml/2006/main" count="732" uniqueCount="316">
  <si>
    <t xml:space="preserve">번호</t>
  </si>
  <si>
    <t xml:space="preserve">지역</t>
  </si>
  <si>
    <t xml:space="preserve">대학</t>
  </si>
  <si>
    <t xml:space="preserve">기관</t>
  </si>
  <si>
    <t xml:space="preserve">구분</t>
  </si>
  <si>
    <t xml:space="preserve">공고 제목</t>
  </si>
  <si>
    <t xml:space="preserve">게시일</t>
  </si>
  <si>
    <t xml:space="preserve">링크</t>
  </si>
  <si>
    <t xml:space="preserve">요약</t>
  </si>
  <si>
    <t xml:space="preserve">게시판</t>
  </si>
  <si>
    <t xml:space="preserve">출처</t>
  </si>
  <si>
    <t xml:space="preserve">신뢰도</t>
  </si>
  <si>
    <t xml:space="preserve">수집일</t>
  </si>
  <si>
    <t xml:space="preserve">부산</t>
  </si>
  <si>
    <t xml:space="preserve">경성대학교</t>
  </si>
  <si>
    <t xml:space="preserve">대학 본부</t>
  </si>
  <si>
    <r>
      <rPr>
        <sz val="10"/>
        <rFont val="WenQuanYi Zen Hei"/>
        <family val="2"/>
      </rPr>
      <t xml:space="preserve">일반강사채용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</si>
  <si>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비전임교원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겸임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초빙</t>
    </r>
    <r>
      <rPr>
        <sz val="10"/>
        <rFont val="맑은 고딕"/>
        <family val="0"/>
        <charset val="1"/>
      </rPr>
      <t xml:space="preserve">) 1</t>
    </r>
    <r>
      <rPr>
        <sz val="10"/>
        <rFont val="WenQuanYi Zen Hei"/>
        <family val="2"/>
      </rPr>
      <t xml:space="preserve">차 공개채용</t>
    </r>
  </si>
  <si>
    <t xml:space="preserve">2026</t>
  </si>
  <si>
    <t xml:space="preserve">https://apps.ks.ac.kr/eprofappl/eprofappl/index.jsp</t>
  </si>
  <si>
    <r>
      <rPr>
        <sz val="10"/>
        <rFont val="WenQuanYi Zen Hei"/>
        <family val="2"/>
      </rPr>
      <t xml:space="preserve">평생교육원 공고 아님</t>
    </r>
    <r>
      <rPr>
        <sz val="10"/>
        <rFont val="맑은 고딕"/>
        <family val="0"/>
        <charset val="1"/>
      </rPr>
      <t xml:space="preserve">.</t>
    </r>
  </si>
  <si>
    <t xml:space="preserve">교수초빙시스템</t>
  </si>
  <si>
    <t xml:space="preserve">web_search</t>
  </si>
  <si>
    <t xml:space="preserve">high</t>
  </si>
  <si>
    <t xml:space="preserve">2026-09-21</t>
  </si>
  <si>
    <t xml:space="preserve">평생교육원</t>
  </si>
  <si>
    <t xml:space="preserve">강좌개설신청</t>
  </si>
  <si>
    <r>
      <rPr>
        <sz val="10"/>
        <rFont val="맑은 고딕"/>
        <family val="0"/>
        <charset val="1"/>
      </rPr>
      <t xml:space="preserve">2026-2</t>
    </r>
    <r>
      <rPr>
        <sz val="10"/>
        <rFont val="WenQuanYi Zen Hei"/>
        <family val="2"/>
      </rPr>
      <t xml:space="preserve">학기 평생교육원 신규강좌 모집</t>
    </r>
  </si>
  <si>
    <t xml:space="preserve">2026-04-23</t>
  </si>
  <si>
    <t xml:space="preserve">https://cms1.ks.ac.kr/kscec/bbs/list.do?mId=0208000000&amp;ptIdx=201</t>
  </si>
  <si>
    <t xml:space="preserve">평생교육원 소식</t>
  </si>
  <si>
    <t xml:space="preserve">scraper</t>
  </si>
  <si>
    <t xml:space="preserve">고신대학교</t>
  </si>
  <si>
    <t xml:space="preserve">강사모집</t>
  </si>
  <si>
    <r>
      <rPr>
        <sz val="10"/>
        <rFont val="맑은 고딕"/>
        <family val="0"/>
        <charset val="1"/>
      </rPr>
      <t xml:space="preserve">2022</t>
    </r>
    <r>
      <rPr>
        <sz val="10"/>
        <rFont val="WenQuanYi Zen Hei"/>
        <family val="2"/>
      </rPr>
      <t xml:space="preserve">년도 학점은행제 신규 강사모집 안내</t>
    </r>
  </si>
  <si>
    <t xml:space="preserve">2022</t>
  </si>
  <si>
    <t xml:space="preserve">https://kosinedu.com/sub04_1/776</t>
  </si>
  <si>
    <r>
      <rPr>
        <sz val="10"/>
        <rFont val="WenQuanYi Zen Hei"/>
        <family val="2"/>
      </rPr>
      <t xml:space="preserve">과거 공고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형식 참고용</t>
    </r>
    <r>
      <rPr>
        <sz val="10"/>
        <rFont val="맑은 고딕"/>
        <family val="0"/>
        <charset val="1"/>
      </rPr>
      <t xml:space="preserve">).</t>
    </r>
  </si>
  <si>
    <t xml:space="preserve">공지사항</t>
  </si>
  <si>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 상반기 고신대학교 평생교육원 학점은행제 신규강사 모집 안내</t>
    </r>
  </si>
  <si>
    <t xml:space="preserve">2024</t>
  </si>
  <si>
    <t xml:space="preserve">https://kosinedu.com/sub04_1/2021</t>
  </si>
  <si>
    <r>
      <rPr>
        <sz val="10"/>
        <rFont val="WenQuanYi Zen Hei"/>
        <family val="2"/>
      </rPr>
      <t xml:space="preserve">자격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학사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교육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연구경력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석사</t>
    </r>
    <r>
      <rPr>
        <sz val="10"/>
        <rFont val="맑은 고딕"/>
        <family val="0"/>
        <charset val="1"/>
      </rPr>
      <t xml:space="preserve">+2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박사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수강인원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이론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이상 확보 조건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국가공무원법 </t>
    </r>
    <r>
      <rPr>
        <sz val="10"/>
        <rFont val="맑은 고딕"/>
        <family val="0"/>
        <charset val="1"/>
      </rPr>
      <t xml:space="preserve">33</t>
    </r>
    <r>
      <rPr>
        <sz val="10"/>
        <rFont val="WenQuanYi Zen Hei"/>
        <family val="2"/>
      </rPr>
      <t xml:space="preserve">조 결격사유 없어야 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051-990-2260, 2450. (2025·2026 </t>
    </r>
    <r>
      <rPr>
        <sz val="10"/>
        <rFont val="WenQuanYi Zen Hei"/>
        <family val="2"/>
      </rPr>
      <t xml:space="preserve">공고는 검색 미확인</t>
    </r>
    <r>
      <rPr>
        <sz val="10"/>
        <rFont val="맑은 고딕"/>
        <family val="0"/>
        <charset val="1"/>
      </rPr>
      <t xml:space="preserve">)</t>
    </r>
  </si>
  <si>
    <t xml:space="preserve">국립부경대학교</t>
  </si>
  <si>
    <t xml:space="preserve">강좌개설공모</t>
  </si>
  <si>
    <r>
      <rPr>
        <sz val="10"/>
        <rFont val="맑은 고딕"/>
        <family val="0"/>
        <charset val="1"/>
      </rPr>
      <t xml:space="preserve">2023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평생교육원 개설강좌 공모 안내</t>
    </r>
  </si>
  <si>
    <t xml:space="preserve">2023-05</t>
  </si>
  <si>
    <t xml:space="preserve">https://ee.pknu.ac.kr/ee/1669?action=view&amp;no=9934849</t>
  </si>
  <si>
    <r>
      <rPr>
        <sz val="10"/>
        <rFont val="WenQuanYi Zen Hei"/>
        <family val="2"/>
      </rPr>
      <t xml:space="preserve">공모기간 </t>
    </r>
    <r>
      <rPr>
        <sz val="10"/>
        <rFont val="맑은 고딕"/>
        <family val="0"/>
        <charset val="1"/>
      </rPr>
      <t xml:space="preserve">2023-05-09~05-31. 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교수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연구원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대학원생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직원 등 강의분야 자격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경력 보유자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 학기 유사 공모 반복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</si>
  <si>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학과 게시판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</si>
  <si>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일반교육과정 개설강좌 공모</t>
    </r>
  </si>
  <si>
    <t xml:space="preserve">http://ps.pknu.ac.kr/</t>
  </si>
  <si>
    <r>
      <rPr>
        <sz val="10"/>
        <rFont val="WenQuanYi Zen Hei"/>
        <family val="2"/>
      </rPr>
      <t xml:space="preserve">평생교육원 홈페이지 공지에 게시된 개설강좌 공모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개별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미확보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051-629-6791.</t>
    </r>
  </si>
  <si>
    <t xml:space="preserve">low</t>
  </si>
  <si>
    <r>
      <rPr>
        <sz val="10"/>
        <rFont val="맑은 고딕"/>
        <family val="0"/>
        <charset val="1"/>
      </rPr>
      <t xml:space="preserve">2025-2</t>
    </r>
    <r>
      <rPr>
        <sz val="10"/>
        <rFont val="WenQuanYi Zen Hei"/>
        <family val="2"/>
      </rPr>
      <t xml:space="preserve">학기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강사 채용 공고</t>
    </r>
  </si>
  <si>
    <t xml:space="preserve">2025</t>
  </si>
  <si>
    <t xml:space="preserve">https://kcue.or.kr/notice/sub04.php?pagenumber=1&amp;at=view&amp;idx=657599</t>
  </si>
  <si>
    <t xml:space="preserve">대교협</t>
  </si>
  <si>
    <r>
      <rPr>
        <sz val="10"/>
        <rFont val="WenQuanYi Zen Hei"/>
        <family val="2"/>
      </rPr>
      <t xml:space="preserve">미래교육원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</si>
  <si>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미래교육원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학기 특별교육과정 개설강좌 공모</t>
    </r>
  </si>
  <si>
    <t xml:space="preserve">https://www.pknu.ac.kr/main/163?action=view&amp;no=723314</t>
  </si>
  <si>
    <r>
      <rPr>
        <sz val="10"/>
        <rFont val="WenQuanYi Zen Hei"/>
        <family val="2"/>
      </rPr>
      <t xml:space="preserve">특별교육과정 개설강좌 공모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강좌 제안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매 학기 반복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051-629-6791.</t>
    </r>
  </si>
  <si>
    <t xml:space="preserve">대학 공지사항</t>
  </si>
  <si>
    <t xml:space="preserve">국립한국해양대학교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</si>
  <si>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상반기 강사 공개채용 모집 공고</t>
    </r>
  </si>
  <si>
    <t xml:space="preserve">https://www.kmou.ac.kr/kmou/na/ntt/selectNttInfo.do?nttSn=10369063&amp;mi=2035</t>
  </si>
  <si>
    <r>
      <rPr>
        <sz val="10"/>
        <rFont val="WenQuanYi Zen Hei"/>
        <family val="2"/>
      </rPr>
      <t xml:space="preserve">학부 강사 채용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평생교육원 공고 아님</t>
    </r>
    <r>
      <rPr>
        <sz val="10"/>
        <rFont val="맑은 고딕"/>
        <family val="0"/>
        <charset val="1"/>
      </rPr>
      <t xml:space="preserve">.</t>
    </r>
  </si>
  <si>
    <t xml:space="preserve">동아대학교</t>
  </si>
  <si>
    <r>
      <rPr>
        <sz val="10"/>
        <rFont val="WenQuanYi Zen Hei"/>
        <family val="2"/>
      </rPr>
      <t xml:space="preserve">강좌개설제안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</si>
  <si>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강좌개설신청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</si>
  <si>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https://donga-edu.donga.ac.kr/community_notice/read.aspx?no=10288&amp;board_code=site9100</t>
  </si>
  <si>
    <r>
      <rPr>
        <sz val="10"/>
        <rFont val="WenQuanYi Zen Hei"/>
        <family val="2"/>
      </rPr>
      <t xml:space="preserve">대학 본부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교원공채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</si>
  <si>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학기 강사 초빙 공고</t>
    </r>
  </si>
  <si>
    <t xml:space="preserve">2026-01</t>
  </si>
  <si>
    <t xml:space="preserve">https://www.jinhakpro.com/recruit/37049</t>
  </si>
  <si>
    <r>
      <rPr>
        <sz val="10"/>
        <rFont val="WenQuanYi Zen Hei"/>
        <family val="2"/>
      </rPr>
      <t xml:space="preserve">접수 </t>
    </r>
    <r>
      <rPr>
        <sz val="10"/>
        <rFont val="맑은 고딕"/>
        <family val="0"/>
        <charset val="1"/>
      </rPr>
      <t xml:space="preserve">2026-01-23 09:00 ~ 01-29 13:00. </t>
    </r>
    <r>
      <rPr>
        <sz val="10"/>
        <rFont val="WenQuanYi Zen Hei"/>
        <family val="2"/>
      </rPr>
      <t xml:space="preserve">기초심사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전공심사</t>
    </r>
    <r>
      <rPr>
        <sz val="10"/>
        <rFont val="맑은 고딕"/>
        <family val="0"/>
        <charset val="1"/>
      </rPr>
      <t xml:space="preserve">(+</t>
    </r>
    <r>
      <rPr>
        <sz val="10"/>
        <rFont val="WenQuanYi Zen Hei"/>
        <family val="2"/>
      </rPr>
      <t xml:space="preserve">면접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평생교육원 공고 아님</t>
    </r>
    <r>
      <rPr>
        <sz val="10"/>
        <rFont val="맑은 고딕"/>
        <family val="0"/>
        <charset val="1"/>
      </rPr>
      <t xml:space="preserve">.</t>
    </r>
  </si>
  <si>
    <t xml:space="preserve">진학프로</t>
  </si>
  <si>
    <t xml:space="preserve">동의과학대학교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</si>
  <si>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스포츠 강사 채용 공고 </t>
    </r>
    <r>
      <rPr>
        <sz val="10"/>
        <rFont val="맑은 고딕"/>
        <family val="0"/>
        <charset val="1"/>
      </rPr>
      <t xml:space="preserve">(2026</t>
    </r>
    <r>
      <rPr>
        <sz val="10"/>
        <rFont val="WenQuanYi Zen Hei"/>
        <family val="2"/>
      </rPr>
      <t xml:space="preserve">년 어르신 스포츠강좌 프로그램 지원사업</t>
    </r>
    <r>
      <rPr>
        <sz val="10"/>
        <rFont val="맑은 고딕"/>
        <family val="0"/>
        <charset val="1"/>
      </rPr>
      <t xml:space="preserve">)</t>
    </r>
  </si>
  <si>
    <t xml:space="preserve">2026-04-22</t>
  </si>
  <si>
    <t xml:space="preserve">https://m.dit.ac.kr/kr/?idx=17100&amp;mode=view&amp;pCode=notice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</si>
  <si>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어르신 스포츠강좌 프로그램 지원사업 강사 채용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첨부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강사지원서</t>
    </r>
    <r>
      <rPr>
        <sz val="10"/>
        <rFont val="맑은 고딕"/>
        <family val="0"/>
        <charset val="1"/>
      </rPr>
      <t xml:space="preserve">(hwp).</t>
    </r>
  </si>
  <si>
    <t xml:space="preserve">동의대학교</t>
  </si>
  <si>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미래교육원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</si>
  <si>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학점은행제 강사 모집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상시</t>
    </r>
    <r>
      <rPr>
        <sz val="10"/>
        <rFont val="맑은 고딕"/>
        <family val="0"/>
        <charset val="1"/>
      </rPr>
      <t xml:space="preserve">)</t>
    </r>
  </si>
  <si>
    <t xml:space="preserve">https://lifelong.deu.ac.kr/Board/BoardView.aspx?CategoryNo=5&amp;PageNo=1&amp;KeyWord=&amp;KeyField=TITLE&amp;CategoryYN=Y&amp;BoardNo=190984&amp;BoardMstNo=1&amp;MENU_ID=141&amp;Secret=&amp;Secret_YN=N</t>
  </si>
  <si>
    <r>
      <rPr>
        <sz val="10"/>
        <rFont val="WenQuanYi Zen Hei"/>
        <family val="2"/>
      </rPr>
      <t xml:space="preserve">제출서류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지원서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이력서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연구 및 활동 실적물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개인정보동의서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첨부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학점은행제 강사 자격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이력서 양식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평생교육원강사관리위원회가 기초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전공심사 후 필요 시 개별 연락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051-890-1947~8.</t>
    </r>
  </si>
  <si>
    <t xml:space="preserve">부산가톨릭대학교</t>
  </si>
  <si>
    <r>
      <rPr>
        <sz val="10"/>
        <rFont val="WenQuanYi Zen Hei"/>
        <family val="2"/>
      </rPr>
      <t xml:space="preserve">강사인증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등록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</si>
  <si>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학년도 강사 인증 신청자 모집</t>
    </r>
  </si>
  <si>
    <t xml:space="preserve">2026-01-27</t>
  </si>
  <si>
    <t xml:space="preserve">https://edu.cup.ac.kr/</t>
  </si>
  <si>
    <r>
      <rPr>
        <sz val="10"/>
        <rFont val="WenQuanYi Zen Hei"/>
        <family val="2"/>
      </rPr>
      <t xml:space="preserve">평생교육원 강사 인증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신청자 모집 공지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상세는 평생교육원 공지사항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051-519-0492~4.</t>
    </r>
  </si>
  <si>
    <t xml:space="preserve">medium</t>
  </si>
  <si>
    <t xml:space="preserve">부산교육대학교</t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</si>
  <si>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강사 채용공고</t>
    </r>
  </si>
  <si>
    <t xml:space="preserve">https://www.kcue.or.kr/notice/sub04.php?pagenumber=1&amp;at=view&amp;idx=657669</t>
  </si>
  <si>
    <t xml:space="preserve">부산대학교</t>
  </si>
  <si>
    <r>
      <rPr>
        <sz val="10"/>
        <rFont val="WenQuanYi Zen Hei"/>
        <family val="2"/>
      </rPr>
      <t xml:space="preserve">미래시민교육원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舊 평생교육원</t>
    </r>
    <r>
      <rPr>
        <sz val="10"/>
        <rFont val="맑은 고딕"/>
        <family val="0"/>
        <charset val="1"/>
      </rPr>
      <t xml:space="preserve">)</t>
    </r>
  </si>
  <si>
    <t xml:space="preserve">https://sce.pusan.ac.kr/#none</t>
  </si>
  <si>
    <t xml:space="preserve">미래시민교육원 메인</t>
  </si>
  <si>
    <t xml:space="preserve">미래시민교육원</t>
  </si>
  <si>
    <t xml:space="preserve">강사공지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</si>
  <si>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강사 공지사항</t>
    </r>
  </si>
  <si>
    <t xml:space="preserve">2026-08-27</t>
  </si>
  <si>
    <t xml:space="preserve">https://d-sce.pusan.ac.kr/kor/CMS/Board/Board.do?mCode=MN052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</si>
  <si>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강사 대상 공지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학습비 감면 신청 안내와 함께 게시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강좌개설 신청 절차는 게시판에서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051-510-1234~5.</t>
    </r>
  </si>
  <si>
    <t xml:space="preserve">부산보건대학교</t>
  </si>
  <si>
    <r>
      <rPr>
        <sz val="10"/>
        <rFont val="WenQuanYi Zen Hei"/>
        <family val="2"/>
      </rPr>
      <t xml:space="preserve">신규강좌 개설 신청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</si>
  <si>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https://life.bhu.ac.kr/</t>
  </si>
  <si>
    <r>
      <rPr>
        <sz val="10"/>
        <rFont val="WenQuanYi Zen Hei"/>
        <family val="2"/>
      </rPr>
      <t xml:space="preserve">홈페이지에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신규강좌 개설 신청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메뉴 운영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051-200-3244, 1528.</t>
    </r>
  </si>
  <si>
    <t xml:space="preserve">홈페이지 메뉴</t>
  </si>
  <si>
    <t xml:space="preserve">부산여자대학교</t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</si>
  <si>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학기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 강사 공개 채용 공고</t>
    </r>
  </si>
  <si>
    <t xml:space="preserve">https://www.jinhakpro.com/recruit/22963</t>
  </si>
  <si>
    <t xml:space="preserve">부산예술대학교</t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</si>
  <si>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학년도 여름학기 평생교육원 개설강좌 및 강사모집 공고</t>
    </r>
  </si>
  <si>
    <t xml:space="preserve">https://pia-edu.com/notice/?bmode=view&amp;idx=161131935</t>
  </si>
  <si>
    <r>
      <rPr>
        <sz val="10"/>
        <rFont val="WenQuanYi Zen Hei"/>
        <family val="2"/>
      </rPr>
      <t xml:space="preserve">여름학기 개설강좌 및 강사 공모 공고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게시글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확보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</si>
  <si>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학년도 겨울학기 평생교육원 개설강좌 및 강사모집 공고</t>
    </r>
  </si>
  <si>
    <t xml:space="preserve">2025-10-21</t>
  </si>
  <si>
    <t xml:space="preserve">https://pia-edu.com/notice/?bmode=view&amp;idx=168278318</t>
  </si>
  <si>
    <r>
      <rPr>
        <sz val="10"/>
        <rFont val="WenQuanYi Zen Hei"/>
        <family val="2"/>
      </rPr>
      <t xml:space="preserve">겨울학기 개설강좌 및 강사 공모 공고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게시글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확보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</si>
  <si>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학기 평생교육원 개설강좌 및 강사모집 공고</t>
    </r>
  </si>
  <si>
    <t xml:space="preserve">2026-01-19</t>
  </si>
  <si>
    <t xml:space="preserve">https://pia-edu.com/notice/?q=YToxOntzOjEyOiJrZXl3b3JkX3R5cGUiO3M6MzoiYWxsIjt9&amp;bmode=view&amp;idx=169560243&amp;t=board</t>
  </si>
  <si>
    <r>
      <rPr>
        <sz val="10"/>
        <rFont val="WenQuanYi Zen Hei"/>
        <family val="2"/>
      </rPr>
      <t xml:space="preserve">학기별로 개설강좌와 강사를 함께 공모하는 정기 공고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검색 스니펫에서 제목만 확인되어 개별 게시글 </t>
    </r>
    <r>
      <rPr>
        <sz val="10"/>
        <rFont val="맑은 고딕"/>
        <family val="0"/>
        <charset val="1"/>
      </rPr>
      <t xml:space="preserve">URL</t>
    </r>
    <r>
      <rPr>
        <sz val="10"/>
        <rFont val="WenQuanYi Zen Hei"/>
        <family val="2"/>
      </rPr>
      <t xml:space="preserve">은 공지 목록에서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051-622-0056 / 051-628-3990.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</si>
  <si>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여름학기 평생교육원 개설강좌 및 강사모집 공고</t>
    </r>
  </si>
  <si>
    <t xml:space="preserve">2026-05-12</t>
  </si>
  <si>
    <t xml:space="preserve">https://pia-edu.com/notice/?q=YToxOntzOjEyOiJrZXl3b3JkX3R5cGUiO3M6MzoiYWxsIjt9&amp;bmode=view&amp;idx=171246486&amp;t=board</t>
  </si>
  <si>
    <t xml:space="preserve">부산외국어대학교</t>
  </si>
  <si>
    <r>
      <rPr>
        <sz val="10"/>
        <rFont val="맑은 고딕"/>
        <family val="0"/>
        <charset val="1"/>
      </rPr>
      <t xml:space="preserve">2021</t>
    </r>
    <r>
      <rPr>
        <sz val="10"/>
        <rFont val="WenQuanYi Zen Hei"/>
        <family val="2"/>
      </rPr>
      <t xml:space="preserve">학년도 평생교육 여름학기 정규강좌 신규 강좌 및 강사 모집</t>
    </r>
  </si>
  <si>
    <t xml:space="preserve">2021</t>
  </si>
  <si>
    <t xml:space="preserve">https://lec.bufs.ac.kr/lec/index.php?pCode=MN000017&amp;mode=view&amp;idx=66631</t>
  </si>
  <si>
    <r>
      <rPr>
        <sz val="10"/>
        <rFont val="WenQuanYi Zen Hei"/>
        <family val="2"/>
      </rPr>
      <t xml:space="preserve">정규강좌 및 민간자격증 과정 신규 강좌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강사 모집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과거 공고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게시판 위치 참고</t>
    </r>
    <r>
      <rPr>
        <sz val="10"/>
        <rFont val="맑은 고딕"/>
        <family val="0"/>
        <charset val="1"/>
      </rPr>
      <t xml:space="preserve">).</t>
    </r>
  </si>
  <si>
    <t xml:space="preserve">신라대학교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</si>
  <si>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평생교육부 강좌 개설 희망자 모집 및 서류 제출 안내</t>
    </r>
  </si>
  <si>
    <t xml:space="preserve">2026-08-03</t>
  </si>
  <si>
    <t xml:space="preserve">https://soc.silla.ac.kr/Home/Sub04/NoticeBoard01.aspx?id=1116</t>
  </si>
  <si>
    <t xml:space="preserve">영산대학교</t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</si>
  <si>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년도 봄학기 일반과정 신규강좌 및 강사모집</t>
    </r>
  </si>
  <si>
    <t xml:space="preserve">https://ysedu.ysu.ac.kr/board/notice_edu/list.asp</t>
  </si>
  <si>
    <r>
      <rPr>
        <sz val="10"/>
        <rFont val="WenQuanYi Zen Hei"/>
        <family val="2"/>
      </rPr>
      <t xml:space="preserve">학기별 신규강좌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강사 모집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강좌개설 신청은 교양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스포츠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컴퓨터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창업 등 전 분야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051-540-7045, 7265.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</si>
  <si>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하반기 겸임교수 공개채용 공고</t>
    </r>
  </si>
  <si>
    <t xml:space="preserve">https://www.jinhakpro.com/recruit/45759</t>
  </si>
  <si>
    <t xml:space="preserve">울산</t>
  </si>
  <si>
    <t xml:space="preserve">울산과학대학교</t>
  </si>
  <si>
    <r>
      <rPr>
        <sz val="10"/>
        <rFont val="WenQuanYi Zen Hei"/>
        <family val="2"/>
      </rPr>
      <t xml:space="preserve">강좌 개설 제안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</si>
  <si>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https://edu.uc.ac.kr/edu/CMS/Board/Board.do?mCode=MN080</t>
  </si>
  <si>
    <r>
      <rPr>
        <sz val="10"/>
        <rFont val="WenQuanYi Zen Hei"/>
        <family val="2"/>
      </rPr>
      <t xml:space="preserve">강좌개설제안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</si>
  <si>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https://www.uc.ac.kr/edu/</t>
  </si>
  <si>
    <r>
      <rPr>
        <sz val="10"/>
        <rFont val="WenQuanYi Zen Hei"/>
        <family val="2"/>
      </rPr>
      <t xml:space="preserve">별도 공고 없이 홈페이지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강좌개설제안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메뉴로 프로그램 개설 제안을 상시 접수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052-230-0822.</t>
    </r>
  </si>
  <si>
    <t xml:space="preserve">울산대학교</t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</si>
  <si>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 하반기 평생교육 강사 위수탁 추가모집 공고</t>
    </r>
  </si>
  <si>
    <t xml:space="preserve">https://cec.ulsan.ac.kr/cec/3978?action=view&amp;no=272609</t>
  </si>
  <si>
    <r>
      <rPr>
        <sz val="10"/>
        <rFont val="WenQuanYi Zen Hei"/>
        <family val="2"/>
      </rPr>
      <t xml:space="preserve">하반기 강사 위수탁 추가모집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게시글 번호</t>
    </r>
    <r>
      <rPr>
        <sz val="10"/>
        <rFont val="맑은 고딕"/>
        <family val="0"/>
        <charset val="1"/>
      </rPr>
      <t xml:space="preserve">(no=272609)</t>
    </r>
    <r>
      <rPr>
        <sz val="10"/>
        <rFont val="WenQuanYi Zen Hei"/>
        <family val="2"/>
      </rPr>
      <t xml:space="preserve">는 검색 결과 기준 추정</t>
    </r>
    <r>
      <rPr>
        <sz val="10"/>
        <rFont val="맑은 고딕"/>
        <family val="0"/>
        <charset val="1"/>
      </rPr>
      <t xml:space="preserve">.</t>
    </r>
  </si>
  <si>
    <t xml:space="preserve">신규 강좌 개설 제안서 안내</t>
  </si>
  <si>
    <t xml:space="preserve">2025-09-26</t>
  </si>
  <si>
    <t xml:space="preserve">https://cec.ulsan.ac.kr/cec/3978?action=view&amp;no=270342</t>
  </si>
  <si>
    <r>
      <rPr>
        <sz val="10"/>
        <rFont val="WenQuanYi Zen Hei"/>
        <family val="2"/>
      </rPr>
      <t xml:space="preserve">평생교육 전 분야 대상 상시 접수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홈페이지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강좌개설제안서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제출 → 전화 확인 → 운영위원회 심의 → 개설 확정 시 개별 연락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052-259-2018, 2020 / cec2020@mail.ulsan.ac.kr.</t>
    </r>
  </si>
  <si>
    <t xml:space="preserve">경남</t>
  </si>
  <si>
    <t xml:space="preserve">가야대학교</t>
  </si>
  <si>
    <r>
      <rPr>
        <sz val="10"/>
        <rFont val="WenQuanYi Zen Hei"/>
        <family val="2"/>
      </rPr>
      <t xml:space="preserve">강사지원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</si>
  <si>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https://life.kaya.ac.kr/pages/applicant/application.jsp</t>
  </si>
  <si>
    <r>
      <rPr>
        <sz val="10"/>
        <rFont val="WenQuanYi Zen Hei"/>
        <family val="2"/>
      </rPr>
      <t xml:space="preserve">평생교육원 홈페이지에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강사지원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메뉴 운영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055-344-5210.</t>
    </r>
  </si>
  <si>
    <t xml:space="preserve">경남대학교</t>
  </si>
  <si>
    <t xml:space="preserve">창원시 평생학습정보망 강사등록 안내</t>
  </si>
  <si>
    <t xml:space="preserve">https://www.kyungnam.ac.kr/cce/3489/subview.do?enc=Zm5jdDF8QEB8JTJGYmJzJTJGY2NlJTJGMjQxJTJGMTgxMzkxJTJGYXJ0Y2xWaWV3LmRvJTNG</t>
  </si>
  <si>
    <r>
      <rPr>
        <sz val="10"/>
        <rFont val="WenQuanYi Zen Hei"/>
        <family val="2"/>
      </rPr>
      <t xml:space="preserve">창원시 평생학습정보망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강사은행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강사 등록 방법 안내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</si>
  <si>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여름방학특강 개설 교강사 모집</t>
    </r>
  </si>
  <si>
    <t xml:space="preserve">https://www.kyungnam.ac.kr/cce/14630/subview.do</t>
  </si>
  <si>
    <r>
      <rPr>
        <sz val="10"/>
        <rFont val="WenQuanYi Zen Hei"/>
        <family val="2"/>
      </rPr>
      <t xml:space="preserve">평생교육원 채용공고 게시판에 게시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055-249-2720.</t>
    </r>
  </si>
  <si>
    <t xml:space="preserve">채용공고</t>
  </si>
  <si>
    <t xml:space="preserve">경상국립대학교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</si>
  <si>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강사공지</t>
    </r>
    <r>
      <rPr>
        <sz val="10"/>
        <rFont val="맑은 고딕"/>
        <family val="0"/>
        <charset val="1"/>
      </rPr>
      <t xml:space="preserve">] 2026</t>
    </r>
    <r>
      <rPr>
        <sz val="10"/>
        <rFont val="WenQuanYi Zen Hei"/>
        <family val="2"/>
      </rPr>
      <t xml:space="preserve">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강좌 개설 신청 안내</t>
    </r>
  </si>
  <si>
    <t xml:space="preserve">2026-06-02</t>
  </si>
  <si>
    <t xml:space="preserve">https://longlife.gnu.ac.kr/sub.jsp?sID=0201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</si>
  <si>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강좌 개설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신청 안내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홈페이지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강좌개설신청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메뉴로 접수</t>
    </r>
    <r>
      <rPr>
        <sz val="10"/>
        <rFont val="맑은 고딕"/>
        <family val="0"/>
        <charset val="1"/>
      </rPr>
      <t xml:space="preserve">.</t>
    </r>
  </si>
  <si>
    <t xml:space="preserve">국립창원대학교</t>
  </si>
  <si>
    <r>
      <rPr>
        <sz val="10"/>
        <rFont val="WenQuanYi Zen Hei"/>
        <family val="2"/>
      </rPr>
      <t xml:space="preserve">자료실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강사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강사용 서식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 게시판</t>
    </r>
    <r>
      <rPr>
        <sz val="10"/>
        <rFont val="맑은 고딕"/>
        <family val="0"/>
        <charset val="1"/>
      </rPr>
      <t xml:space="preserve">)</t>
    </r>
  </si>
  <si>
    <t xml:space="preserve">https://www.changwon.ac.kr/lifelong/na/ntt/selectNttList.do?mi=4771&amp;bbsId=1786</t>
  </si>
  <si>
    <r>
      <rPr>
        <sz val="10"/>
        <rFont val="WenQuanYi Zen Hei"/>
        <family val="2"/>
      </rPr>
      <t xml:space="preserve">강사 대상 서식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 게시판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공개 강사모집 공고는 검색에서 미확인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 </t>
    </r>
    <r>
      <rPr>
        <sz val="10"/>
        <rFont val="맑은 고딕"/>
        <family val="0"/>
        <charset val="1"/>
      </rPr>
      <t xml:space="preserve">055-213-2561~5.</t>
    </r>
  </si>
  <si>
    <t xml:space="preserve">자료실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</si>
  <si>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제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신규 개설강좌 공모</t>
    </r>
  </si>
  <si>
    <t xml:space="preserve">2026-05-13</t>
  </si>
  <si>
    <t xml:space="preserve">https://www.changwon.ac.kr/lifelong/na/ntt/selectNttList.do?mi=4774&amp;bbsId=1787</t>
  </si>
  <si>
    <t xml:space="preserve">마산대학교</t>
  </si>
  <si>
    <r>
      <rPr>
        <sz val="10"/>
        <rFont val="WenQuanYi Zen Hei"/>
        <family val="2"/>
      </rPr>
      <t xml:space="preserve">강좌 개설 신청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홈페이지 상시 접수 메뉴</t>
    </r>
    <r>
      <rPr>
        <sz val="10"/>
        <rFont val="맑은 고딕"/>
        <family val="0"/>
        <charset val="1"/>
      </rPr>
      <t xml:space="preserve">)</t>
    </r>
  </si>
  <si>
    <t xml:space="preserve">https://lifelong.masan.ac.kr/lectopen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</si>
  <si>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직업능력교육</t>
    </r>
    <r>
      <rPr>
        <sz val="10"/>
        <rFont val="맑은 고딕"/>
        <family val="0"/>
        <charset val="1"/>
      </rPr>
      <t xml:space="preserve">] 2025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창원시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함안군 및 창녕군 위탁 평생교육과정 신규강좌 개설 제안 공모 안내</t>
    </r>
  </si>
  <si>
    <t xml:space="preserve">2025-06-12</t>
  </si>
  <si>
    <t xml:space="preserve">https://lifelong.masan.ac.kr/lectopen/view/2025/20/010/999/13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</si>
  <si>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직업능력교육</t>
    </r>
    <r>
      <rPr>
        <sz val="10"/>
        <rFont val="맑은 고딕"/>
        <family val="0"/>
        <charset val="1"/>
      </rPr>
      <t xml:space="preserve">] 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창원시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함안군 및 창녕군 위탁 평생교육과정 신규강좌 개설 제안 공모 안내</t>
    </r>
  </si>
  <si>
    <t xml:space="preserve">2026-06-01</t>
  </si>
  <si>
    <t xml:space="preserve">https://lifelong.masan.ac.kr/lectopen/view/2026/20/010/999/13</t>
  </si>
  <si>
    <t xml:space="preserve">인제대학교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</si>
  <si>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학기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강사 채용 공고</t>
    </r>
  </si>
  <si>
    <t xml:space="preserve">https://www.jinhakpro.com/recruit/35038</t>
  </si>
  <si>
    <t xml:space="preserve">진주보건대학교</t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</si>
  <si>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학년도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학기 진주보건대학교 평생교육원 강좌 개설 신청 공고</t>
    </r>
  </si>
  <si>
    <t xml:space="preserve">2026-07-14</t>
  </si>
  <si>
    <t xml:space="preserve">https://lifelong.jhc.ac.kr/bbs/board.php?bo_table=sub4_1&amp;wr_id=527</t>
  </si>
  <si>
    <t xml:space="preserve">홈페이지</t>
  </si>
  <si>
    <t xml:space="preserve">공고 게시판</t>
  </si>
  <si>
    <t xml:space="preserve">전화</t>
  </si>
  <si>
    <t xml:space="preserve">이메일</t>
  </si>
  <si>
    <r>
      <rPr>
        <b val="true"/>
        <sz val="10"/>
        <color rgb="FFFFFFFF"/>
        <rFont val="WenQuanYi Zen Hei"/>
        <family val="2"/>
      </rPr>
      <t xml:space="preserve">수집 공고 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참고 제외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</si>
  <si>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경남정보대학교</t>
  </si>
  <si>
    <t xml:space="preserve">https://cei.kit.ac.kr/cei/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</si>
  <si>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https://cei.kit.ac.kr/cei/?pCode=MN0000028</t>
    </r>
  </si>
  <si>
    <t xml:space="preserve">051-320-1367</t>
  </si>
  <si>
    <t xml:space="preserve">https://cms1.ks.ac.kr/kscec/Main.do</t>
  </si>
  <si>
    <r>
      <rPr>
        <sz val="10"/>
        <rFont val="WenQuanYi Zen Hei"/>
        <family val="2"/>
      </rPr>
      <t xml:space="preserve">평생교육원 소식</t>
    </r>
    <r>
      <rPr>
        <sz val="10"/>
        <rFont val="맑은 고딕"/>
        <family val="0"/>
        <charset val="1"/>
      </rPr>
      <t xml:space="preserve">: https://cms1.ks.ac.kr/kscec/bbs/list.do?mId=0208000000&amp;ptIdx=201</t>
    </r>
  </si>
  <si>
    <t xml:space="preserve">051-663-5311~7</t>
  </si>
  <si>
    <t xml:space="preserve">https://kosinedu.com/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</si>
  <si>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학점은행제</t>
    </r>
    <r>
      <rPr>
        <sz val="10"/>
        <rFont val="맑은 고딕"/>
        <family val="0"/>
        <charset val="1"/>
      </rPr>
      <t xml:space="preserve">): https://kosinedu.com/index.php?mid=sub04_1&amp;order_type=desc</t>
    </r>
  </si>
  <si>
    <t xml:space="preserve">051-990-2260, 2219</t>
  </si>
  <si>
    <r>
      <rPr>
        <sz val="10"/>
        <rFont val="WenQuanYi Zen Hei"/>
        <family val="2"/>
      </rPr>
      <t xml:space="preserve">대학 공지사항</t>
    </r>
    <r>
      <rPr>
        <sz val="10"/>
        <rFont val="맑은 고딕"/>
        <family val="0"/>
        <charset val="1"/>
      </rPr>
      <t xml:space="preserve">: https://www.pknu.ac.kr/main/163</t>
    </r>
  </si>
  <si>
    <t xml:space="preserve">051-629-6791</t>
  </si>
  <si>
    <t xml:space="preserve">https://www.kmou.ac.kr/edu/main.do</t>
  </si>
  <si>
    <r>
      <rPr>
        <sz val="10"/>
        <rFont val="WenQuanYi Zen Hei"/>
        <family val="2"/>
      </rPr>
      <t xml:space="preserve">평생교육원 메인</t>
    </r>
    <r>
      <rPr>
        <sz val="10"/>
        <rFont val="맑은 고딕"/>
        <family val="0"/>
        <charset val="1"/>
      </rPr>
      <t xml:space="preserve">: https://www.kmou.ac.kr/edu/main.do</t>
    </r>
  </si>
  <si>
    <t xml:space="preserve">동서대학교</t>
  </si>
  <si>
    <t xml:space="preserve">https://uni.dongseo.ac.kr/continuing/</t>
  </si>
  <si>
    <r>
      <rPr>
        <sz val="10"/>
        <rFont val="WenQuanYi Zen Hei"/>
        <family val="2"/>
      </rPr>
      <t xml:space="preserve">대학 모집공고</t>
    </r>
    <r>
      <rPr>
        <sz val="10"/>
        <rFont val="맑은 고딕"/>
        <family val="0"/>
        <charset val="1"/>
      </rPr>
      <t xml:space="preserve">: https://www.dongseo.ac.kr/kr/index.php?pCode=MN2000197&amp;CgCode=A5</t>
    </r>
  </si>
  <si>
    <t xml:space="preserve">https://donga-edu.donga.ac.kr/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</si>
  <si>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https://donga-edu.donga.ac.kr/main/main.aspx</t>
    </r>
  </si>
  <si>
    <t xml:space="preserve">051-200-8452~6</t>
  </si>
  <si>
    <t xml:space="preserve">https://ce.dit.ac.kr/dit/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</si>
  <si>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https://ce.dit.ac.kr/dit/?pCode=MN0000014
</t>
    </r>
    <r>
      <rPr>
        <sz val="10"/>
        <rFont val="WenQuanYi Zen Hei"/>
        <family val="2"/>
      </rPr>
      <t xml:space="preserve">대학 공지사항</t>
    </r>
    <r>
      <rPr>
        <sz val="10"/>
        <rFont val="맑은 고딕"/>
        <family val="0"/>
        <charset val="1"/>
      </rPr>
      <t xml:space="preserve">: https://m.dit.ac.kr/kr/?pCode=notice</t>
    </r>
  </si>
  <si>
    <t xml:space="preserve">https://lifelong.deu.ac.kr/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</si>
  <si>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https://lifelong.deu.ac.kr/Board/BoardList.aspx?BoardMstNo=1&amp;MENU_ID=141</t>
    </r>
  </si>
  <si>
    <t xml:space="preserve">051-890-1947~8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</si>
  <si>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https://edu.cup.ac.kr/</t>
    </r>
  </si>
  <si>
    <t xml:space="preserve">051-519-0492~4</t>
  </si>
  <si>
    <t xml:space="preserve">부산경상대학교</t>
  </si>
  <si>
    <t xml:space="preserve">https://www.bsks.ac.kr/</t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</si>
  <si>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게시판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미확인</t>
    </r>
    <r>
      <rPr>
        <sz val="10"/>
        <rFont val="맑은 고딕"/>
        <family val="0"/>
        <charset val="1"/>
      </rPr>
      <t xml:space="preserve">)</t>
    </r>
  </si>
  <si>
    <t xml:space="preserve">부산과학기술대학교</t>
  </si>
  <si>
    <t xml:space="preserve">https://life.bist.ac.kr/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</si>
  <si>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https://life.bist.ac.kr/</t>
    </r>
  </si>
  <si>
    <t xml:space="preserve">https://www.bnue.ac.kr/</t>
  </si>
  <si>
    <r>
      <rPr>
        <sz val="10"/>
        <rFont val="WenQuanYi Zen Hei"/>
        <family val="2"/>
      </rPr>
      <t xml:space="preserve">신청포털</t>
    </r>
    <r>
      <rPr>
        <sz val="10"/>
        <rFont val="맑은 고딕"/>
        <family val="0"/>
        <charset val="1"/>
      </rPr>
      <t xml:space="preserve">: https://apply.bnue.ac.kr/home/main</t>
    </r>
  </si>
  <si>
    <t xml:space="preserve">https://sce.pusan.ac.kr/</t>
  </si>
  <si>
    <r>
      <rPr>
        <sz val="10"/>
        <rFont val="WenQuanYi Zen Hei"/>
        <family val="2"/>
      </rPr>
      <t xml:space="preserve">미래시민교육원 메인</t>
    </r>
    <r>
      <rPr>
        <sz val="10"/>
        <rFont val="맑은 고딕"/>
        <family val="0"/>
        <charset val="1"/>
      </rPr>
      <t xml:space="preserve">: https://sce.pusan.ac.kr/
</t>
    </r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https://d-sce.pusan.ac.kr/kor/CMS/Board/Board.do?mCode=MN052</t>
    </r>
  </si>
  <si>
    <t xml:space="preserve">051-510-1234~5, 1353~4</t>
  </si>
  <si>
    <t xml:space="preserve">부산디지털대학교</t>
  </si>
  <si>
    <t xml:space="preserve">http://www.bdu.ac.kr/edulife/index.do</t>
  </si>
  <si>
    <r>
      <rPr>
        <sz val="10"/>
        <rFont val="WenQuanYi Zen Hei"/>
        <family val="2"/>
      </rPr>
      <t xml:space="preserve">대학 공지</t>
    </r>
    <r>
      <rPr>
        <sz val="10"/>
        <rFont val="맑은 고딕"/>
        <family val="0"/>
        <charset val="1"/>
      </rPr>
      <t xml:space="preserve">: https://www.bdu.ac.kr/bduhome/sub03_06_03_01.do</t>
    </r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</si>
  <si>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https://life.bhu.ac.kr/Board/BoardList.aspx?BoardMstNo=1&amp;MENU_ID=24</t>
    </r>
  </si>
  <si>
    <t xml:space="preserve">051-200-3244, 1528</t>
  </si>
  <si>
    <t xml:space="preserve">https://www.bwc.ac.kr/</t>
  </si>
  <si>
    <t xml:space="preserve">https://pia-edu.com/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</si>
  <si>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https://pia-edu.com/notice/</t>
    </r>
  </si>
  <si>
    <t xml:space="preserve">051-622-0056, 051-628-3990</t>
  </si>
  <si>
    <t xml:space="preserve">https://lec.bufs.ac.kr/</t>
  </si>
  <si>
    <r>
      <rPr>
        <sz val="10"/>
        <rFont val="WenQuanYi Zen Hei"/>
        <family val="2"/>
      </rPr>
      <t xml:space="preserve">홈페이지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공지</t>
    </r>
    <r>
      <rPr>
        <sz val="10"/>
        <rFont val="맑은 고딕"/>
        <family val="0"/>
        <charset val="1"/>
      </rPr>
      <t xml:space="preserve">): https://lec.bufs.ac.kr/</t>
    </r>
  </si>
  <si>
    <t xml:space="preserve">https://soc.silla.ac.kr/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</si>
  <si>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https://soc.silla.ac.kr/</t>
    </r>
  </si>
  <si>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해운대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양산</t>
    </r>
    <r>
      <rPr>
        <sz val="10"/>
        <rFont val="맑은 고딕"/>
        <family val="0"/>
        <charset val="1"/>
      </rPr>
      <t xml:space="preserve">)</t>
    </r>
  </si>
  <si>
    <t xml:space="preserve">https://ysedu.ysu.ac.kr/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</si>
  <si>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https://ysedu.ysu.ac.kr/board/notice_edu/list.asp</t>
    </r>
  </si>
  <si>
    <t xml:space="preserve">051-540-7045, 7265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</si>
  <si>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https://edu.uc.ac.kr/edu/Main.do
</t>
    </r>
    <r>
      <rPr>
        <sz val="10"/>
        <rFont val="WenQuanYi Zen Hei"/>
        <family val="2"/>
      </rPr>
      <t xml:space="preserve">강좌개설제안</t>
    </r>
    <r>
      <rPr>
        <sz val="10"/>
        <rFont val="맑은 고딕"/>
        <family val="0"/>
        <charset val="1"/>
      </rPr>
      <t xml:space="preserve">: https://edu.uc.ac.kr/edu/CMS/Board/Board.do?mCode=MN080</t>
    </r>
  </si>
  <si>
    <t xml:space="preserve">052-230-0822</t>
  </si>
  <si>
    <t xml:space="preserve">https://cec.ulsan.ac.kr/cec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</si>
  <si>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https://cec.ulsan.ac.kr/cec/3978</t>
    </r>
  </si>
  <si>
    <t xml:space="preserve">052-259-2018, 2020</t>
  </si>
  <si>
    <t xml:space="preserve">cec2020@mail.ulsan.ac.kr</t>
  </si>
  <si>
    <t xml:space="preserve">춘해보건대학교</t>
  </si>
  <si>
    <t xml:space="preserve">https://edu.ch.ac.kr/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</si>
  <si>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https://edu.ch.ac.kr/</t>
    </r>
  </si>
  <si>
    <t xml:space="preserve">https://life.kaya.ac.kr/</t>
  </si>
  <si>
    <r>
      <rPr>
        <sz val="10"/>
        <rFont val="WenQuanYi Zen Hei"/>
        <family val="2"/>
      </rPr>
      <t xml:space="preserve">강사지원</t>
    </r>
    <r>
      <rPr>
        <sz val="10"/>
        <rFont val="맑은 고딕"/>
        <family val="0"/>
        <charset val="1"/>
      </rPr>
      <t xml:space="preserve">: https://life.kaya.ac.kr/pages/applicant/application.jsp</t>
    </r>
  </si>
  <si>
    <t xml:space="preserve">055-344-5210</t>
  </si>
  <si>
    <t xml:space="preserve">거제대학교</t>
  </si>
  <si>
    <t xml:space="preserve">https://www.koje.ac.kr/</t>
  </si>
  <si>
    <t xml:space="preserve">https://www.kyungnam.ac.kr/sites/cce/index..do</t>
  </si>
  <si>
    <r>
      <rPr>
        <sz val="10"/>
        <rFont val="WenQuanYi Zen Hei"/>
        <family val="2"/>
      </rPr>
      <t xml:space="preserve">채용공고</t>
    </r>
    <r>
      <rPr>
        <sz val="10"/>
        <rFont val="맑은 고딕"/>
        <family val="0"/>
        <charset val="1"/>
      </rPr>
      <t xml:space="preserve">: https://www.kyungnam.ac.kr/cce/14630/subview.do
</t>
    </r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https://www.kyungnam.ac.kr/cce/3489/subview.do</t>
    </r>
  </si>
  <si>
    <t xml:space="preserve">055-249-2720</t>
  </si>
  <si>
    <t xml:space="preserve">https://longlife.gnu.ac.kr/</t>
  </si>
  <si>
    <r>
      <rPr>
        <sz val="10"/>
        <rFont val="WenQuanYi Zen Hei"/>
        <family val="2"/>
      </rPr>
      <t xml:space="preserve">강사공지</t>
    </r>
    <r>
      <rPr>
        <sz val="10"/>
        <rFont val="맑은 고딕"/>
        <family val="0"/>
        <charset val="1"/>
      </rPr>
      <t xml:space="preserve">: https://longlife.gnu.ac.kr/sub.jsp?sID=0201</t>
    </r>
  </si>
  <si>
    <t xml:space="preserve">https://www.changwon.ac.kr/lifelong/main.do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</si>
  <si>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https://www.changwon.ac.kr/lifelong/na/ntt/selectNttList.do?mi=4774&amp;bbsId=1787
</t>
    </r>
    <r>
      <rPr>
        <sz val="10"/>
        <rFont val="WenQuanYi Zen Hei"/>
        <family val="2"/>
      </rPr>
      <t xml:space="preserve">자료실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강사</t>
    </r>
    <r>
      <rPr>
        <sz val="10"/>
        <rFont val="맑은 고딕"/>
        <family val="0"/>
        <charset val="1"/>
      </rPr>
      <t xml:space="preserve">: https://www.changwon.ac.kr/lifelong/na/ntt/selectNttList.do?mi=4771&amp;bbsId=1786</t>
    </r>
  </si>
  <si>
    <t xml:space="preserve">055-213-2561~5</t>
  </si>
  <si>
    <t xml:space="preserve">국립창원대학교 거창캠퍼스</t>
  </si>
  <si>
    <t xml:space="preserve">https://psl.gc.ac.kr/M0101/</t>
  </si>
  <si>
    <t xml:space="preserve">김해대학교</t>
  </si>
  <si>
    <t xml:space="preserve">https://www.gimhae.ac.kr/</t>
  </si>
  <si>
    <t xml:space="preserve">동원과학기술대학교</t>
  </si>
  <si>
    <t xml:space="preserve">https://www.dongwon.ac.kr/</t>
  </si>
  <si>
    <t xml:space="preserve">https://lifelong.masan.ac.kr/main</t>
  </si>
  <si>
    <r>
      <rPr>
        <sz val="10"/>
        <rFont val="WenQuanYi Zen Hei"/>
        <family val="2"/>
      </rPr>
      <t xml:space="preserve">강좌개설신청</t>
    </r>
    <r>
      <rPr>
        <sz val="10"/>
        <rFont val="맑은 고딕"/>
        <family val="0"/>
        <charset val="1"/>
      </rPr>
      <t xml:space="preserve">: https://lifelong.masan.ac.kr/lectopen</t>
    </r>
  </si>
  <si>
    <t xml:space="preserve">연암공과대학교</t>
  </si>
  <si>
    <t xml:space="preserve">https://www.yc.ac.kr/</t>
  </si>
  <si>
    <t xml:space="preserve">https://soc.inje.ac.kr/</t>
  </si>
  <si>
    <r>
      <rPr>
        <sz val="10"/>
        <rFont val="WenQuanYi Zen Hei"/>
        <family val="2"/>
      </rPr>
      <t xml:space="preserve">대학 모집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채용</t>
    </r>
    <r>
      <rPr>
        <sz val="10"/>
        <rFont val="맑은 고딕"/>
        <family val="0"/>
        <charset val="1"/>
      </rPr>
      <t xml:space="preserve">: https://www.inje.ac.kr/kor/Template/Bsub_page.asp?Ltype=5&amp;Ltype2=0&amp;Ltype3=0&amp;Tname=S_News&amp;Ldir=board/S_News&amp;div=8&amp;d1n=5&amp;d2n=1&amp;d3n=3&amp;d4n=0</t>
    </r>
  </si>
  <si>
    <t xml:space="preserve">https://lifelong.jhc.ac.kr/</t>
  </si>
  <si>
    <r>
      <rPr>
        <sz val="10"/>
        <rFont val="WenQuanYi Zen Hei"/>
        <family val="2"/>
      </rPr>
      <t xml:space="preserve">공지사항</t>
    </r>
    <r>
      <rPr>
        <sz val="10"/>
        <rFont val="맑은 고딕"/>
        <family val="0"/>
        <charset val="1"/>
      </rPr>
      <t xml:space="preserve">: https://lifelong.jhc.ac.kr/bbs/board.php?bo_table=sub4_1</t>
    </r>
  </si>
  <si>
    <t xml:space="preserve">055-740-1756</t>
  </si>
  <si>
    <t xml:space="preserve">창신대학교</t>
  </si>
  <si>
    <t xml:space="preserve">https://ice.cs.ac.kr/</t>
  </si>
  <si>
    <r>
      <rPr>
        <sz val="10"/>
        <rFont val="WenQuanYi Zen Hei"/>
        <family val="2"/>
      </rPr>
      <t xml:space="preserve">평생교육원 메인</t>
    </r>
    <r>
      <rPr>
        <sz val="10"/>
        <rFont val="맑은 고딕"/>
        <family val="0"/>
        <charset val="1"/>
      </rPr>
      <t xml:space="preserve">: https://ice.cs.ac.kr/</t>
    </r>
  </si>
  <si>
    <t xml:space="preserve">055-250-3050</t>
  </si>
  <si>
    <t xml:space="preserve">창원문성대학교</t>
  </si>
  <si>
    <t xml:space="preserve">https://www.cmu.ac.kr/</t>
  </si>
  <si>
    <r>
      <rPr>
        <b val="true"/>
        <sz val="12"/>
        <rFont val="WenQuanYi Zen Hei"/>
        <family val="2"/>
      </rPr>
      <t xml:space="preserve">지역 </t>
    </r>
    <r>
      <rPr>
        <b val="true"/>
        <sz val="12"/>
        <rFont val="맑은 고딕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구분별 공고 건수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공고목록 시트 기준 자동 집계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</si>
  <si>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강좌개설제안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상시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</si>
  <si>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강사인증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등록</t>
    </r>
  </si>
  <si>
    <r>
      <rPr>
        <b val="true"/>
        <sz val="10"/>
        <color rgb="FFFFFFFF"/>
        <rFont val="WenQuanYi Zen Hei"/>
        <family val="2"/>
      </rPr>
      <t xml:space="preserve">일반강사채용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</si>
  <si>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합계</t>
  </si>
  <si>
    <t xml:space="preserve">구분 설명</t>
  </si>
  <si>
    <r>
      <rPr>
        <sz val="9"/>
        <color rgb="FF595959"/>
        <rFont val="WenQuanYi Zen Hei"/>
        <family val="2"/>
      </rPr>
      <t xml:space="preserve">강사모집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강사를 직접 공모하는 공고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강좌개설신청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공모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강사가 강좌 개설을 신청하는 방식의 학기별 공고</t>
    </r>
  </si>
  <si>
    <r>
      <rPr>
        <sz val="9"/>
        <color rgb="FF595959"/>
        <rFont val="WenQuanYi Zen Hei"/>
        <family val="2"/>
      </rPr>
      <t xml:space="preserve">강좌개설제안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상시</t>
    </r>
    <r>
      <rPr>
        <sz val="9"/>
        <color rgb="FF595959"/>
        <rFont val="맑은 고딕"/>
        <family val="0"/>
        <charset val="1"/>
      </rPr>
      <t xml:space="preserve">): </t>
    </r>
    <r>
      <rPr>
        <sz val="9"/>
        <color rgb="FF595959"/>
        <rFont val="WenQuanYi Zen Hei"/>
        <family val="2"/>
      </rPr>
      <t xml:space="preserve">공고 없이 홈페이지 메뉴로 상시 접수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강사인증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등록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강사 풀 등록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강사공지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기존 강사 대상 안내</t>
    </r>
  </si>
  <si>
    <r>
      <rPr>
        <sz val="9"/>
        <color rgb="FF595959"/>
        <rFont val="WenQuanYi Zen Hei"/>
        <family val="2"/>
      </rPr>
      <t xml:space="preserve">일반강사채용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참고</t>
    </r>
    <r>
      <rPr>
        <sz val="9"/>
        <color rgb="FF595959"/>
        <rFont val="맑은 고딕"/>
        <family val="0"/>
        <charset val="1"/>
      </rPr>
      <t xml:space="preserve">): </t>
    </r>
    <r>
      <rPr>
        <sz val="9"/>
        <color rgb="FF595959"/>
        <rFont val="WenQuanYi Zen Hei"/>
        <family val="2"/>
      </rPr>
      <t xml:space="preserve">평생교육원이 아닌 대학 본부의 학부 강사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겸임교수 채용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참고용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</si>
  <si>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신뢰도</t>
    </r>
    <r>
      <rPr>
        <sz val="9"/>
        <color rgb="FF595959"/>
        <rFont val="맑은 고딕"/>
        <family val="0"/>
        <charset val="1"/>
      </rPr>
      <t xml:space="preserve">: high = </t>
    </r>
    <r>
      <rPr>
        <sz val="9"/>
        <color rgb="FF595959"/>
        <rFont val="WenQuanYi Zen Hei"/>
        <family val="2"/>
      </rPr>
      <t xml:space="preserve">게시글 </t>
    </r>
    <r>
      <rPr>
        <sz val="9"/>
        <color rgb="FF595959"/>
        <rFont val="맑은 고딕"/>
        <family val="0"/>
        <charset val="1"/>
      </rPr>
      <t xml:space="preserve">URL</t>
    </r>
    <r>
      <rPr>
        <sz val="9"/>
        <color rgb="FF595959"/>
        <rFont val="WenQuanYi Zen Hei"/>
        <family val="2"/>
      </rPr>
      <t xml:space="preserve">까지 확인</t>
    </r>
    <r>
      <rPr>
        <sz val="9"/>
        <color rgb="FF595959"/>
        <rFont val="맑은 고딕"/>
        <family val="0"/>
        <charset val="1"/>
      </rPr>
      <t xml:space="preserve">, medium = </t>
    </r>
    <r>
      <rPr>
        <sz val="9"/>
        <color rgb="FF595959"/>
        <rFont val="WenQuanYi Zen Hei"/>
        <family val="2"/>
      </rPr>
      <t xml:space="preserve">제목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게시판만 확인</t>
    </r>
    <r>
      <rPr>
        <sz val="9"/>
        <color rgb="FF595959"/>
        <rFont val="맑은 고딕"/>
        <family val="0"/>
        <charset val="1"/>
      </rPr>
      <t xml:space="preserve">, low = </t>
    </r>
    <r>
      <rPr>
        <sz val="9"/>
        <color rgb="FF595959"/>
        <rFont val="WenQuanYi Zen Hei"/>
        <family val="2"/>
      </rPr>
      <t xml:space="preserve">검색 스니펫으로만 확인</t>
    </r>
  </si>
  <si>
    <r>
      <rPr>
        <sz val="9"/>
        <color rgb="FF595959"/>
        <rFont val="WenQuanYi Zen Hei"/>
        <family val="2"/>
      </rPr>
      <t xml:space="preserve">출처 </t>
    </r>
    <r>
      <rPr>
        <sz val="9"/>
        <color rgb="FF595959"/>
        <rFont val="맑은 고딕"/>
        <family val="0"/>
        <charset val="1"/>
      </rPr>
      <t xml:space="preserve">web_search: </t>
    </r>
    <r>
      <rPr>
        <sz val="9"/>
        <color rgb="FF595959"/>
        <rFont val="WenQuanYi Zen Hei"/>
        <family val="2"/>
      </rPr>
      <t xml:space="preserve">대학 도메인 직접 접속이 차단된 환경에서 웹 검색 결과로 수집 </t>
    </r>
    <r>
      <rPr>
        <sz val="9"/>
        <color rgb="FF595959"/>
        <rFont val="맑은 고딕"/>
        <family val="0"/>
        <charset val="1"/>
      </rPr>
      <t xml:space="preserve">/ scraper: </t>
    </r>
    <r>
      <rPr>
        <sz val="9"/>
        <color rgb="FF595959"/>
        <rFont val="WenQuanYi Zen Hei"/>
        <family val="2"/>
      </rPr>
      <t xml:space="preserve">자동 수집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</si>
</sst>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u val="single"/>
      <sz val="10"/>
      <color rgb="FF0563C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2"/>
      <name val="WenQuanYi Zen Hei"/>
      <family val="2"/>
    </font>
    <font>
      <b val="true"/>
      <sz val="12"/>
      <name val="맑은 고딕"/>
      <family val="0"/>
      <charset val="1"/>
    </font>
    <font>
      <b val="true"/>
      <sz val="10"/>
      <name val="WenQuanYi Zen Hei"/>
      <family val="2"/>
    </font>
    <font>
      <b val="true"/>
      <sz val="9"/>
      <color rgb="FF595959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s.ks.ac.kr/eprofappl/eprofappl/index.jsp" TargetMode="External"/><Relationship Id="rId2" Type="http://schemas.openxmlformats.org/officeDocument/2006/relationships/hyperlink" Target="https://cms1.ks.ac.kr/kscec/bbs/list.do?mId=0208000000&amp;ptIdx=201" TargetMode="External"/><Relationship Id="rId3" Type="http://schemas.openxmlformats.org/officeDocument/2006/relationships/hyperlink" Target="https://kosinedu.com/sub04_1/776" TargetMode="External"/><Relationship Id="rId4" Type="http://schemas.openxmlformats.org/officeDocument/2006/relationships/hyperlink" Target="https://kosinedu.com/sub04_1/2021" TargetMode="External"/><Relationship Id="rId5" Type="http://schemas.openxmlformats.org/officeDocument/2006/relationships/hyperlink" Target="https://ee.pknu.ac.kr/ee/1669?action=view&amp;no=9934849" TargetMode="External"/><Relationship Id="rId6" Type="http://schemas.openxmlformats.org/officeDocument/2006/relationships/hyperlink" Target="http://ps.pknu.ac.kr/" TargetMode="External"/><Relationship Id="rId7" Type="http://schemas.openxmlformats.org/officeDocument/2006/relationships/hyperlink" Target="https://kcue.or.kr/notice/sub04.php?pagenumber=1&amp;at=view&amp;idx=657599" TargetMode="External"/><Relationship Id="rId8" Type="http://schemas.openxmlformats.org/officeDocument/2006/relationships/hyperlink" Target="https://www.pknu.ac.kr/main/163?action=view&amp;no=723314" TargetMode="External"/><Relationship Id="rId9" Type="http://schemas.openxmlformats.org/officeDocument/2006/relationships/hyperlink" Target="https://www.kmou.ac.kr/kmou/na/ntt/selectNttInfo.do?nttSn=10369063&amp;mi=2035" TargetMode="External"/><Relationship Id="rId10" Type="http://schemas.openxmlformats.org/officeDocument/2006/relationships/hyperlink" Target="https://donga-edu.donga.ac.kr/community_notice/read.aspx?no=10288&amp;board_code=site9100" TargetMode="External"/><Relationship Id="rId11" Type="http://schemas.openxmlformats.org/officeDocument/2006/relationships/hyperlink" Target="https://www.jinhakpro.com/recruit/37049" TargetMode="External"/><Relationship Id="rId12" Type="http://schemas.openxmlformats.org/officeDocument/2006/relationships/hyperlink" Target="https://m.dit.ac.kr/kr/?idx=17100&amp;mode=view&amp;pCode=notice" TargetMode="External"/><Relationship Id="rId13" Type="http://schemas.openxmlformats.org/officeDocument/2006/relationships/hyperlink" Target="https://lifelong.deu.ac.kr/Board/BoardView.aspx?CategoryNo=5&amp;PageNo=1&amp;KeyWord=&amp;KeyField=TITLE&amp;CategoryYN=Y&amp;BoardNo=190984&amp;BoardMstNo=1&amp;MENU_ID=141&amp;Secret=&amp;Secret_YN=N" TargetMode="External"/><Relationship Id="rId14" Type="http://schemas.openxmlformats.org/officeDocument/2006/relationships/hyperlink" Target="https://edu.cup.ac.kr/" TargetMode="External"/><Relationship Id="rId15" Type="http://schemas.openxmlformats.org/officeDocument/2006/relationships/hyperlink" Target="https://www.kcue.or.kr/notice/sub04.php?pagenumber=1&amp;at=view&amp;idx=657669" TargetMode="External"/><Relationship Id="rId16" Type="http://schemas.openxmlformats.org/officeDocument/2006/relationships/hyperlink" Target="https://sce.pusan.ac.kr/" TargetMode="External"/><Relationship Id="rId17" Type="http://schemas.openxmlformats.org/officeDocument/2006/relationships/hyperlink" Target="https://d-sce.pusan.ac.kr/kor/CMS/Board/Board.do?mCode=MN052" TargetMode="External"/><Relationship Id="rId18" Type="http://schemas.openxmlformats.org/officeDocument/2006/relationships/hyperlink" Target="https://life.bhu.ac.kr/" TargetMode="External"/><Relationship Id="rId19" Type="http://schemas.openxmlformats.org/officeDocument/2006/relationships/hyperlink" Target="https://www.jinhakpro.com/recruit/22963" TargetMode="External"/><Relationship Id="rId20" Type="http://schemas.openxmlformats.org/officeDocument/2006/relationships/hyperlink" Target="https://pia-edu.com/notice/?bmode=view&amp;idx=161131935" TargetMode="External"/><Relationship Id="rId21" Type="http://schemas.openxmlformats.org/officeDocument/2006/relationships/hyperlink" Target="https://pia-edu.com/notice/?bmode=view&amp;idx=168278318" TargetMode="External"/><Relationship Id="rId22" Type="http://schemas.openxmlformats.org/officeDocument/2006/relationships/hyperlink" Target="https://pia-edu.com/notice/?q=YToxOntzOjEyOiJrZXl3b3JkX3R5cGUiO3M6MzoiYWxsIjt9&amp;bmode=view&amp;idx=169560243&amp;t=board" TargetMode="External"/><Relationship Id="rId23" Type="http://schemas.openxmlformats.org/officeDocument/2006/relationships/hyperlink" Target="https://pia-edu.com/notice/?q=YToxOntzOjEyOiJrZXl3b3JkX3R5cGUiO3M6MzoiYWxsIjt9&amp;bmode=view&amp;idx=171246486&amp;t=board" TargetMode="External"/><Relationship Id="rId24" Type="http://schemas.openxmlformats.org/officeDocument/2006/relationships/hyperlink" Target="https://lec.bufs.ac.kr/lec/index.php?pCode=MN000017&amp;mode=view&amp;idx=66631" TargetMode="External"/><Relationship Id="rId25" Type="http://schemas.openxmlformats.org/officeDocument/2006/relationships/hyperlink" Target="https://soc.silla.ac.kr/Home/Sub04/NoticeBoard01.aspx?id=1116" TargetMode="External"/><Relationship Id="rId26" Type="http://schemas.openxmlformats.org/officeDocument/2006/relationships/hyperlink" Target="https://ysedu.ysu.ac.kr/board/notice_edu/list.asp" TargetMode="External"/><Relationship Id="rId27" Type="http://schemas.openxmlformats.org/officeDocument/2006/relationships/hyperlink" Target="https://www.jinhakpro.com/recruit/45759" TargetMode="External"/><Relationship Id="rId28" Type="http://schemas.openxmlformats.org/officeDocument/2006/relationships/hyperlink" Target="https://edu.uc.ac.kr/edu/CMS/Board/Board.do?mCode=MN080" TargetMode="External"/><Relationship Id="rId29" Type="http://schemas.openxmlformats.org/officeDocument/2006/relationships/hyperlink" Target="https://www.uc.ac.kr/edu/" TargetMode="External"/><Relationship Id="rId30" Type="http://schemas.openxmlformats.org/officeDocument/2006/relationships/hyperlink" Target="https://cec.ulsan.ac.kr/cec/3978?action=view&amp;no=272609" TargetMode="External"/><Relationship Id="rId31" Type="http://schemas.openxmlformats.org/officeDocument/2006/relationships/hyperlink" Target="https://cec.ulsan.ac.kr/cec/3978?action=view&amp;no=270342" TargetMode="External"/><Relationship Id="rId32" Type="http://schemas.openxmlformats.org/officeDocument/2006/relationships/hyperlink" Target="https://life.kaya.ac.kr/pages/applicant/application.jsp" TargetMode="External"/><Relationship Id="rId33" Type="http://schemas.openxmlformats.org/officeDocument/2006/relationships/hyperlink" Target="https://www.kyungnam.ac.kr/cce/3489/subview.do?enc=Zm5jdDF8QEB8JTJGYmJzJTJGY2NlJTJGMjQxJTJGMTgxMzkxJTJGYXJ0Y2xWaWV3LmRvJTNG" TargetMode="External"/><Relationship Id="rId34" Type="http://schemas.openxmlformats.org/officeDocument/2006/relationships/hyperlink" Target="https://www.kyungnam.ac.kr/cce/14630/subview.do" TargetMode="External"/><Relationship Id="rId35" Type="http://schemas.openxmlformats.org/officeDocument/2006/relationships/hyperlink" Target="https://longlife.gnu.ac.kr/sub.jsp?sID=0201" TargetMode="External"/><Relationship Id="rId36" Type="http://schemas.openxmlformats.org/officeDocument/2006/relationships/hyperlink" Target="https://www.changwon.ac.kr/lifelong/na/ntt/selectNttList.do?mi=4771&amp;bbsId=1786" TargetMode="External"/><Relationship Id="rId37" Type="http://schemas.openxmlformats.org/officeDocument/2006/relationships/hyperlink" Target="https://www.changwon.ac.kr/lifelong/na/ntt/selectNttList.do?mi=4774&amp;bbsId=1787" TargetMode="External"/><Relationship Id="rId38" Type="http://schemas.openxmlformats.org/officeDocument/2006/relationships/hyperlink" Target="https://lifelong.masan.ac.kr/lectopen" TargetMode="External"/><Relationship Id="rId39" Type="http://schemas.openxmlformats.org/officeDocument/2006/relationships/hyperlink" Target="https://lifelong.masan.ac.kr/lectopen/view/2025/20/010/999/13" TargetMode="External"/><Relationship Id="rId40" Type="http://schemas.openxmlformats.org/officeDocument/2006/relationships/hyperlink" Target="https://lifelong.masan.ac.kr/lectopen/view/2026/20/010/999/13" TargetMode="External"/><Relationship Id="rId41" Type="http://schemas.openxmlformats.org/officeDocument/2006/relationships/hyperlink" Target="https://www.jinhakpro.com/recruit/35038" TargetMode="External"/><Relationship Id="rId42" Type="http://schemas.openxmlformats.org/officeDocument/2006/relationships/hyperlink" Target="https://lifelong.jhc.ac.kr/bbs/board.php?bo_table=sub4_1&amp;wr_id=527" TargetMode="External"/><Relationship Id="rId4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ei.kit.ac.kr/cei/" TargetMode="External"/><Relationship Id="rId2" Type="http://schemas.openxmlformats.org/officeDocument/2006/relationships/hyperlink" Target="https://cms1.ks.ac.kr/kscec/Main.do" TargetMode="External"/><Relationship Id="rId3" Type="http://schemas.openxmlformats.org/officeDocument/2006/relationships/hyperlink" Target="https://kosinedu.com/" TargetMode="External"/><Relationship Id="rId4" Type="http://schemas.openxmlformats.org/officeDocument/2006/relationships/hyperlink" Target="http://ps.pknu.ac.kr/" TargetMode="External"/><Relationship Id="rId5" Type="http://schemas.openxmlformats.org/officeDocument/2006/relationships/hyperlink" Target="https://www.kmou.ac.kr/edu/main.do" TargetMode="External"/><Relationship Id="rId6" Type="http://schemas.openxmlformats.org/officeDocument/2006/relationships/hyperlink" Target="https://uni.dongseo.ac.kr/continuing/" TargetMode="External"/><Relationship Id="rId7" Type="http://schemas.openxmlformats.org/officeDocument/2006/relationships/hyperlink" Target="https://donga-edu.donga.ac.kr/" TargetMode="External"/><Relationship Id="rId8" Type="http://schemas.openxmlformats.org/officeDocument/2006/relationships/hyperlink" Target="https://ce.dit.ac.kr/dit/" TargetMode="External"/><Relationship Id="rId9" Type="http://schemas.openxmlformats.org/officeDocument/2006/relationships/hyperlink" Target="https://lifelong.deu.ac.kr/" TargetMode="External"/><Relationship Id="rId10" Type="http://schemas.openxmlformats.org/officeDocument/2006/relationships/hyperlink" Target="https://edu.cup.ac.kr/" TargetMode="External"/><Relationship Id="rId11" Type="http://schemas.openxmlformats.org/officeDocument/2006/relationships/hyperlink" Target="https://www.bsks.ac.kr/" TargetMode="External"/><Relationship Id="rId12" Type="http://schemas.openxmlformats.org/officeDocument/2006/relationships/hyperlink" Target="https://life.bist.ac.kr/" TargetMode="External"/><Relationship Id="rId13" Type="http://schemas.openxmlformats.org/officeDocument/2006/relationships/hyperlink" Target="https://www.bnue.ac.kr/" TargetMode="External"/><Relationship Id="rId14" Type="http://schemas.openxmlformats.org/officeDocument/2006/relationships/hyperlink" Target="https://sce.pusan.ac.kr/" TargetMode="External"/><Relationship Id="rId15" Type="http://schemas.openxmlformats.org/officeDocument/2006/relationships/hyperlink" Target="http://www.bdu.ac.kr/edulife/index.do" TargetMode="External"/><Relationship Id="rId16" Type="http://schemas.openxmlformats.org/officeDocument/2006/relationships/hyperlink" Target="https://life.bhu.ac.kr/" TargetMode="External"/><Relationship Id="rId17" Type="http://schemas.openxmlformats.org/officeDocument/2006/relationships/hyperlink" Target="https://www.bwc.ac.kr/" TargetMode="External"/><Relationship Id="rId18" Type="http://schemas.openxmlformats.org/officeDocument/2006/relationships/hyperlink" Target="https://pia-edu.com/" TargetMode="External"/><Relationship Id="rId19" Type="http://schemas.openxmlformats.org/officeDocument/2006/relationships/hyperlink" Target="https://lec.bufs.ac.kr/" TargetMode="External"/><Relationship Id="rId20" Type="http://schemas.openxmlformats.org/officeDocument/2006/relationships/hyperlink" Target="https://soc.silla.ac.kr/" TargetMode="External"/><Relationship Id="rId21" Type="http://schemas.openxmlformats.org/officeDocument/2006/relationships/hyperlink" Target="https://ysedu.ysu.ac.kr/" TargetMode="External"/><Relationship Id="rId22" Type="http://schemas.openxmlformats.org/officeDocument/2006/relationships/hyperlink" Target="https://www.uc.ac.kr/edu/" TargetMode="External"/><Relationship Id="rId23" Type="http://schemas.openxmlformats.org/officeDocument/2006/relationships/hyperlink" Target="https://cec.ulsan.ac.kr/cec" TargetMode="External"/><Relationship Id="rId24" Type="http://schemas.openxmlformats.org/officeDocument/2006/relationships/hyperlink" Target="https://edu.ch.ac.kr/" TargetMode="External"/><Relationship Id="rId25" Type="http://schemas.openxmlformats.org/officeDocument/2006/relationships/hyperlink" Target="https://life.kaya.ac.kr/" TargetMode="External"/><Relationship Id="rId26" Type="http://schemas.openxmlformats.org/officeDocument/2006/relationships/hyperlink" Target="https://www.koje.ac.kr/" TargetMode="External"/><Relationship Id="rId27" Type="http://schemas.openxmlformats.org/officeDocument/2006/relationships/hyperlink" Target="https://www.kyungnam.ac.kr/sites/cce/index..do" TargetMode="External"/><Relationship Id="rId28" Type="http://schemas.openxmlformats.org/officeDocument/2006/relationships/hyperlink" Target="https://longlife.gnu.ac.kr/" TargetMode="External"/><Relationship Id="rId29" Type="http://schemas.openxmlformats.org/officeDocument/2006/relationships/hyperlink" Target="https://www.changwon.ac.kr/lifelong/main.do" TargetMode="External"/><Relationship Id="rId30" Type="http://schemas.openxmlformats.org/officeDocument/2006/relationships/hyperlink" Target="https://psl.gc.ac.kr/M0101/" TargetMode="External"/><Relationship Id="rId31" Type="http://schemas.openxmlformats.org/officeDocument/2006/relationships/hyperlink" Target="https://www.gimhae.ac.kr/" TargetMode="External"/><Relationship Id="rId32" Type="http://schemas.openxmlformats.org/officeDocument/2006/relationships/hyperlink" Target="https://www.dongwon.ac.kr/" TargetMode="External"/><Relationship Id="rId33" Type="http://schemas.openxmlformats.org/officeDocument/2006/relationships/hyperlink" Target="https://lifelong.masan.ac.kr/main" TargetMode="External"/><Relationship Id="rId34" Type="http://schemas.openxmlformats.org/officeDocument/2006/relationships/hyperlink" Target="https://www.yc.ac.kr/" TargetMode="External"/><Relationship Id="rId35" Type="http://schemas.openxmlformats.org/officeDocument/2006/relationships/hyperlink" Target="https://soc.inje.ac.kr/" TargetMode="External"/><Relationship Id="rId36" Type="http://schemas.openxmlformats.org/officeDocument/2006/relationships/hyperlink" Target="https://lifelong.jhc.ac.kr/" TargetMode="External"/><Relationship Id="rId37" Type="http://schemas.openxmlformats.org/officeDocument/2006/relationships/hyperlink" Target="https://ice.cs.ac.kr/" TargetMode="External"/><Relationship Id="rId38" Type="http://schemas.openxmlformats.org/officeDocument/2006/relationships/hyperlink" Target="https://www.cmu.ac.kr/" TargetMode="External"/><Relationship Id="rId3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6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4" t="s">
        <v>19</v>
      </c>
      <c r="I2" s="3" t="s">
        <v>20</v>
      </c>
      <c r="J2" s="3" t="s">
        <v>21</v>
      </c>
      <c r="K2" s="2" t="s">
        <v>22</v>
      </c>
      <c r="L2" s="2" t="s">
        <v>23</v>
      </c>
      <c r="M2" s="2" t="s">
        <v>24</v>
      </c>
    </row>
    <row r="3" customFormat="false" ht="15" hidden="false" customHeight="false" outlineLevel="0" collapsed="false">
      <c r="A3" s="2" t="n">
        <v>2</v>
      </c>
      <c r="B3" s="3" t="s">
        <v>13</v>
      </c>
      <c r="C3" s="3" t="s">
        <v>14</v>
      </c>
      <c r="D3" s="3" t="s">
        <v>25</v>
      </c>
      <c r="E3" s="3" t="s">
        <v>26</v>
      </c>
      <c r="F3" s="2" t="s">
        <v>27</v>
      </c>
      <c r="G3" s="2" t="s">
        <v>28</v>
      </c>
      <c r="H3" s="4" t="s">
        <v>29</v>
      </c>
      <c r="I3" s="2"/>
      <c r="J3" s="3" t="s">
        <v>30</v>
      </c>
      <c r="K3" s="2" t="s">
        <v>31</v>
      </c>
      <c r="L3" s="2" t="s">
        <v>23</v>
      </c>
      <c r="M3" s="2" t="s">
        <v>24</v>
      </c>
    </row>
    <row r="4" customFormat="false" ht="15" hidden="false" customHeight="false" outlineLevel="0" collapsed="false">
      <c r="A4" s="2" t="n">
        <v>3</v>
      </c>
      <c r="B4" s="3" t="s">
        <v>13</v>
      </c>
      <c r="C4" s="3" t="s">
        <v>32</v>
      </c>
      <c r="D4" s="3" t="s">
        <v>25</v>
      </c>
      <c r="E4" s="3" t="s">
        <v>33</v>
      </c>
      <c r="F4" s="2" t="s">
        <v>34</v>
      </c>
      <c r="G4" s="2" t="s">
        <v>35</v>
      </c>
      <c r="H4" s="4" t="s">
        <v>36</v>
      </c>
      <c r="I4" s="3" t="s">
        <v>37</v>
      </c>
      <c r="J4" s="3" t="s">
        <v>38</v>
      </c>
      <c r="K4" s="2" t="s">
        <v>22</v>
      </c>
      <c r="L4" s="2" t="s">
        <v>23</v>
      </c>
      <c r="M4" s="2" t="s">
        <v>24</v>
      </c>
    </row>
    <row r="5" customFormat="false" ht="39.55" hidden="false" customHeight="false" outlineLevel="0" collapsed="false">
      <c r="A5" s="2" t="n">
        <v>4</v>
      </c>
      <c r="B5" s="3" t="s">
        <v>13</v>
      </c>
      <c r="C5" s="3" t="s">
        <v>32</v>
      </c>
      <c r="D5" s="3" t="s">
        <v>25</v>
      </c>
      <c r="E5" s="3" t="s">
        <v>33</v>
      </c>
      <c r="F5" s="2" t="s">
        <v>39</v>
      </c>
      <c r="G5" s="2" t="s">
        <v>40</v>
      </c>
      <c r="H5" s="4" t="s">
        <v>41</v>
      </c>
      <c r="I5" s="3" t="s">
        <v>42</v>
      </c>
      <c r="J5" s="3" t="s">
        <v>38</v>
      </c>
      <c r="K5" s="2" t="s">
        <v>22</v>
      </c>
      <c r="L5" s="2" t="s">
        <v>23</v>
      </c>
      <c r="M5" s="2" t="s">
        <v>24</v>
      </c>
    </row>
    <row r="6" customFormat="false" ht="26.85" hidden="false" customHeight="false" outlineLevel="0" collapsed="false">
      <c r="A6" s="2" t="n">
        <v>5</v>
      </c>
      <c r="B6" s="3" t="s">
        <v>13</v>
      </c>
      <c r="C6" s="3" t="s">
        <v>43</v>
      </c>
      <c r="D6" s="3" t="s">
        <v>25</v>
      </c>
      <c r="E6" s="3" t="s">
        <v>44</v>
      </c>
      <c r="F6" s="2" t="s">
        <v>45</v>
      </c>
      <c r="G6" s="2" t="s">
        <v>46</v>
      </c>
      <c r="H6" s="4" t="s">
        <v>47</v>
      </c>
      <c r="I6" s="3" t="s">
        <v>48</v>
      </c>
      <c r="J6" s="3" t="s">
        <v>49</v>
      </c>
      <c r="K6" s="2" t="s">
        <v>22</v>
      </c>
      <c r="L6" s="2" t="s">
        <v>23</v>
      </c>
      <c r="M6" s="2" t="s">
        <v>24</v>
      </c>
    </row>
    <row r="7" customFormat="false" ht="15" hidden="false" customHeight="false" outlineLevel="0" collapsed="false">
      <c r="A7" s="2" t="n">
        <v>6</v>
      </c>
      <c r="B7" s="3" t="s">
        <v>13</v>
      </c>
      <c r="C7" s="3" t="s">
        <v>43</v>
      </c>
      <c r="D7" s="3" t="s">
        <v>25</v>
      </c>
      <c r="E7" s="3" t="s">
        <v>44</v>
      </c>
      <c r="F7" s="2" t="s">
        <v>50</v>
      </c>
      <c r="G7" s="2" t="s">
        <v>40</v>
      </c>
      <c r="H7" s="4" t="s">
        <v>51</v>
      </c>
      <c r="I7" s="3" t="s">
        <v>52</v>
      </c>
      <c r="J7" s="3" t="s">
        <v>38</v>
      </c>
      <c r="K7" s="2" t="s">
        <v>22</v>
      </c>
      <c r="L7" s="2" t="s">
        <v>53</v>
      </c>
      <c r="M7" s="2" t="s">
        <v>24</v>
      </c>
    </row>
    <row r="8" customFormat="false" ht="15" hidden="false" customHeight="false" outlineLevel="0" collapsed="false">
      <c r="A8" s="2" t="n">
        <v>7</v>
      </c>
      <c r="B8" s="3" t="s">
        <v>13</v>
      </c>
      <c r="C8" s="3" t="s">
        <v>43</v>
      </c>
      <c r="D8" s="3" t="s">
        <v>15</v>
      </c>
      <c r="E8" s="3" t="s">
        <v>16</v>
      </c>
      <c r="F8" s="2" t="s">
        <v>54</v>
      </c>
      <c r="G8" s="2" t="s">
        <v>55</v>
      </c>
      <c r="H8" s="4" t="s">
        <v>56</v>
      </c>
      <c r="I8" s="3" t="s">
        <v>20</v>
      </c>
      <c r="J8" s="3" t="s">
        <v>57</v>
      </c>
      <c r="K8" s="2" t="s">
        <v>22</v>
      </c>
      <c r="L8" s="2" t="s">
        <v>23</v>
      </c>
      <c r="M8" s="2" t="s">
        <v>24</v>
      </c>
    </row>
    <row r="9" customFormat="false" ht="15" hidden="false" customHeight="false" outlineLevel="0" collapsed="false">
      <c r="A9" s="2" t="n">
        <v>8</v>
      </c>
      <c r="B9" s="3" t="s">
        <v>13</v>
      </c>
      <c r="C9" s="3" t="s">
        <v>43</v>
      </c>
      <c r="D9" s="3" t="s">
        <v>58</v>
      </c>
      <c r="E9" s="3" t="s">
        <v>44</v>
      </c>
      <c r="F9" s="3" t="s">
        <v>59</v>
      </c>
      <c r="G9" s="2" t="s">
        <v>55</v>
      </c>
      <c r="H9" s="4" t="s">
        <v>60</v>
      </c>
      <c r="I9" s="3" t="s">
        <v>61</v>
      </c>
      <c r="J9" s="3" t="s">
        <v>62</v>
      </c>
      <c r="K9" s="2" t="s">
        <v>22</v>
      </c>
      <c r="L9" s="2" t="s">
        <v>23</v>
      </c>
      <c r="M9" s="2" t="s">
        <v>24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3" t="s">
        <v>63</v>
      </c>
      <c r="D10" s="3" t="s">
        <v>15</v>
      </c>
      <c r="E10" s="3" t="s">
        <v>16</v>
      </c>
      <c r="F10" s="2" t="s">
        <v>64</v>
      </c>
      <c r="G10" s="2" t="s">
        <v>18</v>
      </c>
      <c r="H10" s="4" t="s">
        <v>65</v>
      </c>
      <c r="I10" s="3" t="s">
        <v>66</v>
      </c>
      <c r="J10" s="3" t="s">
        <v>62</v>
      </c>
      <c r="K10" s="2" t="s">
        <v>22</v>
      </c>
      <c r="L10" s="2" t="s">
        <v>23</v>
      </c>
      <c r="M10" s="2" t="s">
        <v>24</v>
      </c>
    </row>
    <row r="11" customFormat="false" ht="15" hidden="false" customHeight="false" outlineLevel="0" collapsed="false">
      <c r="A11" s="2" t="n">
        <v>10</v>
      </c>
      <c r="B11" s="3" t="s">
        <v>13</v>
      </c>
      <c r="C11" s="3" t="s">
        <v>67</v>
      </c>
      <c r="D11" s="3" t="s">
        <v>25</v>
      </c>
      <c r="E11" s="3" t="s">
        <v>68</v>
      </c>
      <c r="F11" s="3" t="s">
        <v>69</v>
      </c>
      <c r="G11" s="2"/>
      <c r="H11" s="4" t="s">
        <v>70</v>
      </c>
      <c r="I11" s="2"/>
      <c r="J11" s="3" t="s">
        <v>38</v>
      </c>
      <c r="K11" s="2" t="s">
        <v>31</v>
      </c>
      <c r="L11" s="2" t="s">
        <v>23</v>
      </c>
      <c r="M11" s="2" t="s">
        <v>24</v>
      </c>
    </row>
    <row r="12" customFormat="false" ht="26.85" hidden="false" customHeight="false" outlineLevel="0" collapsed="false">
      <c r="A12" s="2" t="n">
        <v>11</v>
      </c>
      <c r="B12" s="3" t="s">
        <v>13</v>
      </c>
      <c r="C12" s="3" t="s">
        <v>67</v>
      </c>
      <c r="D12" s="3" t="s">
        <v>71</v>
      </c>
      <c r="E12" s="3" t="s">
        <v>16</v>
      </c>
      <c r="F12" s="2" t="s">
        <v>72</v>
      </c>
      <c r="G12" s="2" t="s">
        <v>73</v>
      </c>
      <c r="H12" s="4" t="s">
        <v>74</v>
      </c>
      <c r="I12" s="3" t="s">
        <v>75</v>
      </c>
      <c r="J12" s="3" t="s">
        <v>76</v>
      </c>
      <c r="K12" s="2" t="s">
        <v>22</v>
      </c>
      <c r="L12" s="2" t="s">
        <v>23</v>
      </c>
      <c r="M12" s="2" t="s">
        <v>24</v>
      </c>
    </row>
    <row r="13" customFormat="false" ht="26.85" hidden="false" customHeight="false" outlineLevel="0" collapsed="false">
      <c r="A13" s="2" t="n">
        <v>12</v>
      </c>
      <c r="B13" s="3" t="s">
        <v>13</v>
      </c>
      <c r="C13" s="3" t="s">
        <v>77</v>
      </c>
      <c r="D13" s="3" t="s">
        <v>25</v>
      </c>
      <c r="E13" s="3" t="s">
        <v>33</v>
      </c>
      <c r="F13" s="2" t="s">
        <v>78</v>
      </c>
      <c r="G13" s="2" t="s">
        <v>79</v>
      </c>
      <c r="H13" s="4" t="s">
        <v>80</v>
      </c>
      <c r="I13" s="2" t="s">
        <v>81</v>
      </c>
      <c r="J13" s="3" t="s">
        <v>62</v>
      </c>
      <c r="K13" s="2" t="s">
        <v>22</v>
      </c>
      <c r="L13" s="2" t="s">
        <v>23</v>
      </c>
      <c r="M13" s="2" t="s">
        <v>24</v>
      </c>
    </row>
    <row r="14" customFormat="false" ht="39.55" hidden="false" customHeight="false" outlineLevel="0" collapsed="false">
      <c r="A14" s="2" t="n">
        <v>13</v>
      </c>
      <c r="B14" s="3" t="s">
        <v>13</v>
      </c>
      <c r="C14" s="3" t="s">
        <v>82</v>
      </c>
      <c r="D14" s="3" t="s">
        <v>83</v>
      </c>
      <c r="E14" s="3" t="s">
        <v>33</v>
      </c>
      <c r="F14" s="3" t="s">
        <v>84</v>
      </c>
      <c r="G14" s="2"/>
      <c r="H14" s="4" t="s">
        <v>85</v>
      </c>
      <c r="I14" s="3" t="s">
        <v>86</v>
      </c>
      <c r="J14" s="3" t="s">
        <v>38</v>
      </c>
      <c r="K14" s="2" t="s">
        <v>22</v>
      </c>
      <c r="L14" s="2" t="s">
        <v>23</v>
      </c>
      <c r="M14" s="2" t="s">
        <v>24</v>
      </c>
    </row>
    <row r="15" customFormat="false" ht="25.35" hidden="false" customHeight="false" outlineLevel="0" collapsed="false">
      <c r="A15" s="2" t="n">
        <v>14</v>
      </c>
      <c r="B15" s="3" t="s">
        <v>13</v>
      </c>
      <c r="C15" s="3" t="s">
        <v>87</v>
      </c>
      <c r="D15" s="3" t="s">
        <v>25</v>
      </c>
      <c r="E15" s="3" t="s">
        <v>88</v>
      </c>
      <c r="F15" s="2" t="s">
        <v>89</v>
      </c>
      <c r="G15" s="2" t="s">
        <v>90</v>
      </c>
      <c r="H15" s="4" t="s">
        <v>91</v>
      </c>
      <c r="I15" s="3" t="s">
        <v>92</v>
      </c>
      <c r="J15" s="3" t="s">
        <v>38</v>
      </c>
      <c r="K15" s="2" t="s">
        <v>22</v>
      </c>
      <c r="L15" s="2" t="s">
        <v>93</v>
      </c>
      <c r="M15" s="2" t="s">
        <v>24</v>
      </c>
    </row>
    <row r="16" customFormat="false" ht="15" hidden="false" customHeight="false" outlineLevel="0" collapsed="false">
      <c r="A16" s="2" t="n">
        <v>15</v>
      </c>
      <c r="B16" s="3" t="s">
        <v>13</v>
      </c>
      <c r="C16" s="3" t="s">
        <v>94</v>
      </c>
      <c r="D16" s="3" t="s">
        <v>15</v>
      </c>
      <c r="E16" s="3" t="s">
        <v>16</v>
      </c>
      <c r="F16" s="2" t="s">
        <v>95</v>
      </c>
      <c r="G16" s="2" t="s">
        <v>55</v>
      </c>
      <c r="H16" s="4" t="s">
        <v>96</v>
      </c>
      <c r="I16" s="3" t="s">
        <v>20</v>
      </c>
      <c r="J16" s="3" t="s">
        <v>57</v>
      </c>
      <c r="K16" s="2" t="s">
        <v>22</v>
      </c>
      <c r="L16" s="2" t="s">
        <v>23</v>
      </c>
      <c r="M16" s="2" t="s">
        <v>24</v>
      </c>
    </row>
    <row r="17" customFormat="false" ht="26.85" hidden="false" customHeight="false" outlineLevel="0" collapsed="false">
      <c r="A17" s="2" t="n">
        <v>16</v>
      </c>
      <c r="B17" s="3" t="s">
        <v>13</v>
      </c>
      <c r="C17" s="3" t="s">
        <v>97</v>
      </c>
      <c r="D17" s="3" t="s">
        <v>98</v>
      </c>
      <c r="E17" s="3" t="s">
        <v>68</v>
      </c>
      <c r="F17" s="3" t="s">
        <v>69</v>
      </c>
      <c r="G17" s="2"/>
      <c r="H17" s="4" t="s">
        <v>99</v>
      </c>
      <c r="I17" s="2"/>
      <c r="J17" s="3" t="s">
        <v>100</v>
      </c>
      <c r="K17" s="2" t="s">
        <v>31</v>
      </c>
      <c r="L17" s="2" t="s">
        <v>23</v>
      </c>
      <c r="M17" s="2" t="s">
        <v>24</v>
      </c>
    </row>
    <row r="18" customFormat="false" ht="26.85" hidden="false" customHeight="false" outlineLevel="0" collapsed="false">
      <c r="A18" s="2" t="n">
        <v>17</v>
      </c>
      <c r="B18" s="3" t="s">
        <v>13</v>
      </c>
      <c r="C18" s="3" t="s">
        <v>97</v>
      </c>
      <c r="D18" s="3" t="s">
        <v>101</v>
      </c>
      <c r="E18" s="3" t="s">
        <v>102</v>
      </c>
      <c r="F18" s="2" t="s">
        <v>103</v>
      </c>
      <c r="G18" s="2" t="s">
        <v>104</v>
      </c>
      <c r="H18" s="4" t="s">
        <v>105</v>
      </c>
      <c r="I18" s="2" t="s">
        <v>106</v>
      </c>
      <c r="J18" s="3" t="s">
        <v>38</v>
      </c>
      <c r="K18" s="2" t="s">
        <v>22</v>
      </c>
      <c r="L18" s="2" t="s">
        <v>93</v>
      </c>
      <c r="M18" s="2" t="s">
        <v>24</v>
      </c>
    </row>
    <row r="19" customFormat="false" ht="15" hidden="false" customHeight="false" outlineLevel="0" collapsed="false">
      <c r="A19" s="2" t="n">
        <v>18</v>
      </c>
      <c r="B19" s="3" t="s">
        <v>13</v>
      </c>
      <c r="C19" s="3" t="s">
        <v>107</v>
      </c>
      <c r="D19" s="3" t="s">
        <v>25</v>
      </c>
      <c r="E19" s="3" t="s">
        <v>68</v>
      </c>
      <c r="F19" s="3" t="s">
        <v>108</v>
      </c>
      <c r="G19" s="2"/>
      <c r="H19" s="4" t="s">
        <v>109</v>
      </c>
      <c r="I19" s="3" t="s">
        <v>110</v>
      </c>
      <c r="J19" s="3" t="s">
        <v>111</v>
      </c>
      <c r="K19" s="2" t="s">
        <v>22</v>
      </c>
      <c r="L19" s="2" t="s">
        <v>93</v>
      </c>
      <c r="M19" s="2" t="s">
        <v>24</v>
      </c>
    </row>
    <row r="20" customFormat="false" ht="15" hidden="false" customHeight="false" outlineLevel="0" collapsed="false">
      <c r="A20" s="2" t="n">
        <v>19</v>
      </c>
      <c r="B20" s="3" t="s">
        <v>13</v>
      </c>
      <c r="C20" s="3" t="s">
        <v>112</v>
      </c>
      <c r="D20" s="3" t="s">
        <v>15</v>
      </c>
      <c r="E20" s="3" t="s">
        <v>16</v>
      </c>
      <c r="F20" s="2" t="s">
        <v>113</v>
      </c>
      <c r="G20" s="2" t="s">
        <v>55</v>
      </c>
      <c r="H20" s="4" t="s">
        <v>114</v>
      </c>
      <c r="I20" s="3" t="s">
        <v>20</v>
      </c>
      <c r="J20" s="3" t="s">
        <v>76</v>
      </c>
      <c r="K20" s="2" t="s">
        <v>22</v>
      </c>
      <c r="L20" s="2" t="s">
        <v>23</v>
      </c>
      <c r="M20" s="2" t="s">
        <v>24</v>
      </c>
    </row>
    <row r="21" customFormat="false" ht="15" hidden="false" customHeight="false" outlineLevel="0" collapsed="false">
      <c r="A21" s="2" t="n">
        <v>20</v>
      </c>
      <c r="B21" s="3" t="s">
        <v>13</v>
      </c>
      <c r="C21" s="3" t="s">
        <v>115</v>
      </c>
      <c r="D21" s="3" t="s">
        <v>25</v>
      </c>
      <c r="E21" s="3" t="s">
        <v>33</v>
      </c>
      <c r="F21" s="2" t="s">
        <v>116</v>
      </c>
      <c r="G21" s="2"/>
      <c r="H21" s="4" t="s">
        <v>117</v>
      </c>
      <c r="I21" s="3" t="s">
        <v>118</v>
      </c>
      <c r="J21" s="3" t="s">
        <v>38</v>
      </c>
      <c r="K21" s="2" t="s">
        <v>22</v>
      </c>
      <c r="L21" s="2" t="s">
        <v>23</v>
      </c>
      <c r="M21" s="2" t="s">
        <v>24</v>
      </c>
    </row>
    <row r="22" customFormat="false" ht="15" hidden="false" customHeight="false" outlineLevel="0" collapsed="false">
      <c r="A22" s="2" t="n">
        <v>21</v>
      </c>
      <c r="B22" s="3" t="s">
        <v>13</v>
      </c>
      <c r="C22" s="3" t="s">
        <v>115</v>
      </c>
      <c r="D22" s="3" t="s">
        <v>25</v>
      </c>
      <c r="E22" s="3" t="s">
        <v>33</v>
      </c>
      <c r="F22" s="2" t="s">
        <v>119</v>
      </c>
      <c r="G22" s="2" t="s">
        <v>120</v>
      </c>
      <c r="H22" s="4" t="s">
        <v>121</v>
      </c>
      <c r="I22" s="3" t="s">
        <v>122</v>
      </c>
      <c r="J22" s="3" t="s">
        <v>38</v>
      </c>
      <c r="K22" s="2" t="s">
        <v>22</v>
      </c>
      <c r="L22" s="2" t="s">
        <v>23</v>
      </c>
      <c r="M22" s="2" t="s">
        <v>24</v>
      </c>
    </row>
    <row r="23" customFormat="false" ht="26.85" hidden="false" customHeight="false" outlineLevel="0" collapsed="false">
      <c r="A23" s="2" t="n">
        <v>22</v>
      </c>
      <c r="B23" s="3" t="s">
        <v>13</v>
      </c>
      <c r="C23" s="3" t="s">
        <v>115</v>
      </c>
      <c r="D23" s="3" t="s">
        <v>25</v>
      </c>
      <c r="E23" s="3" t="s">
        <v>33</v>
      </c>
      <c r="F23" s="2" t="s">
        <v>123</v>
      </c>
      <c r="G23" s="2" t="s">
        <v>124</v>
      </c>
      <c r="H23" s="4" t="s">
        <v>125</v>
      </c>
      <c r="I23" s="3" t="s">
        <v>126</v>
      </c>
      <c r="J23" s="3" t="s">
        <v>38</v>
      </c>
      <c r="K23" s="2" t="s">
        <v>22</v>
      </c>
      <c r="L23" s="2" t="s">
        <v>93</v>
      </c>
      <c r="M23" s="2" t="s">
        <v>24</v>
      </c>
    </row>
    <row r="24" customFormat="false" ht="15" hidden="false" customHeight="false" outlineLevel="0" collapsed="false">
      <c r="A24" s="2" t="n">
        <v>23</v>
      </c>
      <c r="B24" s="3" t="s">
        <v>13</v>
      </c>
      <c r="C24" s="3" t="s">
        <v>115</v>
      </c>
      <c r="D24" s="3" t="s">
        <v>25</v>
      </c>
      <c r="E24" s="3" t="s">
        <v>33</v>
      </c>
      <c r="F24" s="2" t="s">
        <v>127</v>
      </c>
      <c r="G24" s="2" t="s">
        <v>128</v>
      </c>
      <c r="H24" s="4" t="s">
        <v>129</v>
      </c>
      <c r="I24" s="2"/>
      <c r="J24" s="3" t="s">
        <v>38</v>
      </c>
      <c r="K24" s="2" t="s">
        <v>31</v>
      </c>
      <c r="L24" s="2" t="s">
        <v>23</v>
      </c>
      <c r="M24" s="2" t="s">
        <v>24</v>
      </c>
    </row>
    <row r="25" customFormat="false" ht="15" hidden="false" customHeight="false" outlineLevel="0" collapsed="false">
      <c r="A25" s="2" t="n">
        <v>24</v>
      </c>
      <c r="B25" s="3" t="s">
        <v>13</v>
      </c>
      <c r="C25" s="3" t="s">
        <v>130</v>
      </c>
      <c r="D25" s="3" t="s">
        <v>25</v>
      </c>
      <c r="E25" s="3" t="s">
        <v>33</v>
      </c>
      <c r="F25" s="2" t="s">
        <v>131</v>
      </c>
      <c r="G25" s="2" t="s">
        <v>132</v>
      </c>
      <c r="H25" s="4" t="s">
        <v>133</v>
      </c>
      <c r="I25" s="3" t="s">
        <v>134</v>
      </c>
      <c r="J25" s="3" t="s">
        <v>38</v>
      </c>
      <c r="K25" s="2" t="s">
        <v>22</v>
      </c>
      <c r="L25" s="2" t="s">
        <v>23</v>
      </c>
      <c r="M25" s="2" t="s">
        <v>24</v>
      </c>
    </row>
    <row r="26" customFormat="false" ht="15" hidden="false" customHeight="false" outlineLevel="0" collapsed="false">
      <c r="A26" s="2" t="n">
        <v>25</v>
      </c>
      <c r="B26" s="3" t="s">
        <v>13</v>
      </c>
      <c r="C26" s="3" t="s">
        <v>135</v>
      </c>
      <c r="D26" s="3" t="s">
        <v>25</v>
      </c>
      <c r="E26" s="3" t="s">
        <v>26</v>
      </c>
      <c r="F26" s="2" t="s">
        <v>136</v>
      </c>
      <c r="G26" s="2" t="s">
        <v>137</v>
      </c>
      <c r="H26" s="4" t="s">
        <v>138</v>
      </c>
      <c r="I26" s="2"/>
      <c r="J26" s="3" t="s">
        <v>38</v>
      </c>
      <c r="K26" s="2" t="s">
        <v>31</v>
      </c>
      <c r="L26" s="2" t="s">
        <v>23</v>
      </c>
      <c r="M26" s="2" t="s">
        <v>24</v>
      </c>
    </row>
    <row r="27" customFormat="false" ht="26.85" hidden="false" customHeight="false" outlineLevel="0" collapsed="false">
      <c r="A27" s="2" t="n">
        <v>26</v>
      </c>
      <c r="B27" s="3" t="s">
        <v>13</v>
      </c>
      <c r="C27" s="3" t="s">
        <v>139</v>
      </c>
      <c r="D27" s="3" t="s">
        <v>25</v>
      </c>
      <c r="E27" s="3" t="s">
        <v>33</v>
      </c>
      <c r="F27" s="2" t="s">
        <v>140</v>
      </c>
      <c r="G27" s="2" t="s">
        <v>55</v>
      </c>
      <c r="H27" s="4" t="s">
        <v>141</v>
      </c>
      <c r="I27" s="3" t="s">
        <v>142</v>
      </c>
      <c r="J27" s="3" t="s">
        <v>38</v>
      </c>
      <c r="K27" s="2" t="s">
        <v>22</v>
      </c>
      <c r="L27" s="2" t="s">
        <v>93</v>
      </c>
      <c r="M27" s="2" t="s">
        <v>24</v>
      </c>
    </row>
    <row r="28" customFormat="false" ht="15" hidden="false" customHeight="false" outlineLevel="0" collapsed="false">
      <c r="A28" s="2" t="n">
        <v>27</v>
      </c>
      <c r="B28" s="3" t="s">
        <v>13</v>
      </c>
      <c r="C28" s="3" t="s">
        <v>139</v>
      </c>
      <c r="D28" s="3" t="s">
        <v>15</v>
      </c>
      <c r="E28" s="3" t="s">
        <v>16</v>
      </c>
      <c r="F28" s="2" t="s">
        <v>143</v>
      </c>
      <c r="G28" s="2" t="s">
        <v>18</v>
      </c>
      <c r="H28" s="4" t="s">
        <v>144</v>
      </c>
      <c r="I28" s="3" t="s">
        <v>20</v>
      </c>
      <c r="J28" s="3" t="s">
        <v>76</v>
      </c>
      <c r="K28" s="2" t="s">
        <v>22</v>
      </c>
      <c r="L28" s="2" t="s">
        <v>23</v>
      </c>
      <c r="M28" s="2" t="s">
        <v>24</v>
      </c>
    </row>
    <row r="29" customFormat="false" ht="15" hidden="false" customHeight="false" outlineLevel="0" collapsed="false">
      <c r="A29" s="2" t="n">
        <v>28</v>
      </c>
      <c r="B29" s="3" t="s">
        <v>145</v>
      </c>
      <c r="C29" s="3" t="s">
        <v>146</v>
      </c>
      <c r="D29" s="3" t="s">
        <v>25</v>
      </c>
      <c r="E29" s="3" t="s">
        <v>68</v>
      </c>
      <c r="F29" s="3" t="s">
        <v>147</v>
      </c>
      <c r="G29" s="2"/>
      <c r="H29" s="4" t="s">
        <v>148</v>
      </c>
      <c r="I29" s="2"/>
      <c r="J29" s="3" t="s">
        <v>38</v>
      </c>
      <c r="K29" s="2" t="s">
        <v>31</v>
      </c>
      <c r="L29" s="2" t="s">
        <v>23</v>
      </c>
      <c r="M29" s="2" t="s">
        <v>24</v>
      </c>
    </row>
    <row r="30" customFormat="false" ht="25.35" hidden="false" customHeight="false" outlineLevel="0" collapsed="false">
      <c r="A30" s="2" t="n">
        <v>29</v>
      </c>
      <c r="B30" s="3" t="s">
        <v>145</v>
      </c>
      <c r="C30" s="3" t="s">
        <v>146</v>
      </c>
      <c r="D30" s="3" t="s">
        <v>25</v>
      </c>
      <c r="E30" s="3" t="s">
        <v>68</v>
      </c>
      <c r="F30" s="3" t="s">
        <v>149</v>
      </c>
      <c r="G30" s="2"/>
      <c r="H30" s="4" t="s">
        <v>150</v>
      </c>
      <c r="I30" s="3" t="s">
        <v>151</v>
      </c>
      <c r="J30" s="3" t="s">
        <v>111</v>
      </c>
      <c r="K30" s="2" t="s">
        <v>22</v>
      </c>
      <c r="L30" s="2" t="s">
        <v>93</v>
      </c>
      <c r="M30" s="2" t="s">
        <v>24</v>
      </c>
    </row>
    <row r="31" customFormat="false" ht="15" hidden="false" customHeight="false" outlineLevel="0" collapsed="false">
      <c r="A31" s="2" t="n">
        <v>30</v>
      </c>
      <c r="B31" s="3" t="s">
        <v>145</v>
      </c>
      <c r="C31" s="3" t="s">
        <v>152</v>
      </c>
      <c r="D31" s="3" t="s">
        <v>25</v>
      </c>
      <c r="E31" s="3" t="s">
        <v>33</v>
      </c>
      <c r="F31" s="2" t="s">
        <v>153</v>
      </c>
      <c r="G31" s="2" t="s">
        <v>55</v>
      </c>
      <c r="H31" s="4" t="s">
        <v>154</v>
      </c>
      <c r="I31" s="3" t="s">
        <v>155</v>
      </c>
      <c r="J31" s="3" t="s">
        <v>38</v>
      </c>
      <c r="K31" s="2" t="s">
        <v>22</v>
      </c>
      <c r="L31" s="2" t="s">
        <v>93</v>
      </c>
      <c r="M31" s="2" t="s">
        <v>24</v>
      </c>
    </row>
    <row r="32" customFormat="false" ht="26.85" hidden="false" customHeight="false" outlineLevel="0" collapsed="false">
      <c r="A32" s="2" t="n">
        <v>31</v>
      </c>
      <c r="B32" s="3" t="s">
        <v>145</v>
      </c>
      <c r="C32" s="3" t="s">
        <v>152</v>
      </c>
      <c r="D32" s="3" t="s">
        <v>25</v>
      </c>
      <c r="E32" s="3" t="s">
        <v>68</v>
      </c>
      <c r="F32" s="3" t="s">
        <v>156</v>
      </c>
      <c r="G32" s="2" t="s">
        <v>157</v>
      </c>
      <c r="H32" s="4" t="s">
        <v>158</v>
      </c>
      <c r="I32" s="3" t="s">
        <v>159</v>
      </c>
      <c r="J32" s="3" t="s">
        <v>38</v>
      </c>
      <c r="K32" s="2" t="s">
        <v>22</v>
      </c>
      <c r="L32" s="2" t="s">
        <v>23</v>
      </c>
      <c r="M32" s="2" t="s">
        <v>24</v>
      </c>
    </row>
    <row r="33" customFormat="false" ht="15" hidden="false" customHeight="false" outlineLevel="0" collapsed="false">
      <c r="A33" s="2" t="n">
        <v>32</v>
      </c>
      <c r="B33" s="3" t="s">
        <v>160</v>
      </c>
      <c r="C33" s="3" t="s">
        <v>161</v>
      </c>
      <c r="D33" s="3" t="s">
        <v>25</v>
      </c>
      <c r="E33" s="3" t="s">
        <v>88</v>
      </c>
      <c r="F33" s="3" t="s">
        <v>162</v>
      </c>
      <c r="G33" s="2"/>
      <c r="H33" s="4" t="s">
        <v>163</v>
      </c>
      <c r="I33" s="3" t="s">
        <v>164</v>
      </c>
      <c r="J33" s="3" t="s">
        <v>111</v>
      </c>
      <c r="K33" s="2" t="s">
        <v>22</v>
      </c>
      <c r="L33" s="2" t="s">
        <v>93</v>
      </c>
      <c r="M33" s="2" t="s">
        <v>24</v>
      </c>
    </row>
    <row r="34" customFormat="false" ht="15" hidden="false" customHeight="false" outlineLevel="0" collapsed="false">
      <c r="A34" s="2" t="n">
        <v>33</v>
      </c>
      <c r="B34" s="3" t="s">
        <v>160</v>
      </c>
      <c r="C34" s="3" t="s">
        <v>165</v>
      </c>
      <c r="D34" s="3" t="s">
        <v>25</v>
      </c>
      <c r="E34" s="3" t="s">
        <v>88</v>
      </c>
      <c r="F34" s="3" t="s">
        <v>166</v>
      </c>
      <c r="G34" s="2"/>
      <c r="H34" s="4" t="s">
        <v>167</v>
      </c>
      <c r="I34" s="3" t="s">
        <v>168</v>
      </c>
      <c r="J34" s="3" t="s">
        <v>38</v>
      </c>
      <c r="K34" s="2" t="s">
        <v>22</v>
      </c>
      <c r="L34" s="2" t="s">
        <v>93</v>
      </c>
      <c r="M34" s="2" t="s">
        <v>24</v>
      </c>
    </row>
    <row r="35" customFormat="false" ht="15" hidden="false" customHeight="false" outlineLevel="0" collapsed="false">
      <c r="A35" s="2" t="n">
        <v>34</v>
      </c>
      <c r="B35" s="3" t="s">
        <v>160</v>
      </c>
      <c r="C35" s="3" t="s">
        <v>165</v>
      </c>
      <c r="D35" s="3" t="s">
        <v>25</v>
      </c>
      <c r="E35" s="3" t="s">
        <v>33</v>
      </c>
      <c r="F35" s="2" t="s">
        <v>169</v>
      </c>
      <c r="G35" s="2" t="s">
        <v>18</v>
      </c>
      <c r="H35" s="4" t="s">
        <v>170</v>
      </c>
      <c r="I35" s="3" t="s">
        <v>171</v>
      </c>
      <c r="J35" s="3" t="s">
        <v>172</v>
      </c>
      <c r="K35" s="2" t="s">
        <v>22</v>
      </c>
      <c r="L35" s="2" t="s">
        <v>93</v>
      </c>
      <c r="M35" s="2" t="s">
        <v>24</v>
      </c>
    </row>
    <row r="36" customFormat="false" ht="15" hidden="false" customHeight="false" outlineLevel="0" collapsed="false">
      <c r="A36" s="2" t="n">
        <v>35</v>
      </c>
      <c r="B36" s="3" t="s">
        <v>160</v>
      </c>
      <c r="C36" s="3" t="s">
        <v>173</v>
      </c>
      <c r="D36" s="3" t="s">
        <v>25</v>
      </c>
      <c r="E36" s="3" t="s">
        <v>26</v>
      </c>
      <c r="F36" s="2" t="s">
        <v>174</v>
      </c>
      <c r="G36" s="2" t="s">
        <v>175</v>
      </c>
      <c r="H36" s="4" t="s">
        <v>176</v>
      </c>
      <c r="I36" s="2" t="s">
        <v>177</v>
      </c>
      <c r="J36" s="3" t="s">
        <v>102</v>
      </c>
      <c r="K36" s="2" t="s">
        <v>22</v>
      </c>
      <c r="L36" s="2" t="s">
        <v>23</v>
      </c>
      <c r="M36" s="2" t="s">
        <v>24</v>
      </c>
    </row>
    <row r="37" customFormat="false" ht="25.35" hidden="false" customHeight="false" outlineLevel="0" collapsed="false">
      <c r="A37" s="2" t="n">
        <v>36</v>
      </c>
      <c r="B37" s="3" t="s">
        <v>160</v>
      </c>
      <c r="C37" s="3" t="s">
        <v>178</v>
      </c>
      <c r="D37" s="3" t="s">
        <v>25</v>
      </c>
      <c r="E37" s="3" t="s">
        <v>102</v>
      </c>
      <c r="F37" s="3" t="s">
        <v>179</v>
      </c>
      <c r="G37" s="2"/>
      <c r="H37" s="4" t="s">
        <v>180</v>
      </c>
      <c r="I37" s="3" t="s">
        <v>181</v>
      </c>
      <c r="J37" s="3" t="s">
        <v>182</v>
      </c>
      <c r="K37" s="2" t="s">
        <v>22</v>
      </c>
      <c r="L37" s="2" t="s">
        <v>93</v>
      </c>
      <c r="M37" s="2" t="s">
        <v>24</v>
      </c>
    </row>
    <row r="38" customFormat="false" ht="15" hidden="false" customHeight="false" outlineLevel="0" collapsed="false">
      <c r="A38" s="2" t="n">
        <v>37</v>
      </c>
      <c r="B38" s="3" t="s">
        <v>160</v>
      </c>
      <c r="C38" s="3" t="s">
        <v>178</v>
      </c>
      <c r="D38" s="3" t="s">
        <v>25</v>
      </c>
      <c r="E38" s="3" t="s">
        <v>44</v>
      </c>
      <c r="F38" s="2" t="s">
        <v>183</v>
      </c>
      <c r="G38" s="2" t="s">
        <v>184</v>
      </c>
      <c r="H38" s="4" t="s">
        <v>185</v>
      </c>
      <c r="I38" s="2"/>
      <c r="J38" s="3" t="s">
        <v>38</v>
      </c>
      <c r="K38" s="2" t="s">
        <v>31</v>
      </c>
      <c r="L38" s="2" t="s">
        <v>93</v>
      </c>
      <c r="M38" s="2" t="s">
        <v>24</v>
      </c>
    </row>
    <row r="39" customFormat="false" ht="15" hidden="false" customHeight="false" outlineLevel="0" collapsed="false">
      <c r="A39" s="2" t="n">
        <v>38</v>
      </c>
      <c r="B39" s="3" t="s">
        <v>160</v>
      </c>
      <c r="C39" s="3" t="s">
        <v>186</v>
      </c>
      <c r="D39" s="3" t="s">
        <v>25</v>
      </c>
      <c r="E39" s="3" t="s">
        <v>68</v>
      </c>
      <c r="F39" s="3" t="s">
        <v>187</v>
      </c>
      <c r="G39" s="2"/>
      <c r="H39" s="4" t="s">
        <v>188</v>
      </c>
      <c r="I39" s="2"/>
      <c r="J39" s="3" t="s">
        <v>38</v>
      </c>
      <c r="K39" s="2" t="s">
        <v>31</v>
      </c>
      <c r="L39" s="2" t="s">
        <v>23</v>
      </c>
      <c r="M39" s="2" t="s">
        <v>24</v>
      </c>
    </row>
    <row r="40" customFormat="false" ht="26.85" hidden="false" customHeight="false" outlineLevel="0" collapsed="false">
      <c r="A40" s="2" t="n">
        <v>39</v>
      </c>
      <c r="B40" s="3" t="s">
        <v>160</v>
      </c>
      <c r="C40" s="3" t="s">
        <v>186</v>
      </c>
      <c r="D40" s="3" t="s">
        <v>25</v>
      </c>
      <c r="E40" s="3" t="s">
        <v>44</v>
      </c>
      <c r="F40" s="2" t="s">
        <v>189</v>
      </c>
      <c r="G40" s="2" t="s">
        <v>190</v>
      </c>
      <c r="H40" s="4" t="s">
        <v>191</v>
      </c>
      <c r="I40" s="2"/>
      <c r="J40" s="3" t="s">
        <v>38</v>
      </c>
      <c r="K40" s="2" t="s">
        <v>31</v>
      </c>
      <c r="L40" s="2" t="s">
        <v>23</v>
      </c>
      <c r="M40" s="2" t="s">
        <v>24</v>
      </c>
    </row>
    <row r="41" customFormat="false" ht="26.85" hidden="false" customHeight="false" outlineLevel="0" collapsed="false">
      <c r="A41" s="2" t="n">
        <v>40</v>
      </c>
      <c r="B41" s="3" t="s">
        <v>160</v>
      </c>
      <c r="C41" s="3" t="s">
        <v>186</v>
      </c>
      <c r="D41" s="3" t="s">
        <v>25</v>
      </c>
      <c r="E41" s="3" t="s">
        <v>44</v>
      </c>
      <c r="F41" s="2" t="s">
        <v>192</v>
      </c>
      <c r="G41" s="2" t="s">
        <v>193</v>
      </c>
      <c r="H41" s="4" t="s">
        <v>194</v>
      </c>
      <c r="I41" s="2"/>
      <c r="J41" s="3" t="s">
        <v>38</v>
      </c>
      <c r="K41" s="2" t="s">
        <v>31</v>
      </c>
      <c r="L41" s="2" t="s">
        <v>23</v>
      </c>
      <c r="M41" s="2" t="s">
        <v>24</v>
      </c>
    </row>
    <row r="42" customFormat="false" ht="15" hidden="false" customHeight="false" outlineLevel="0" collapsed="false">
      <c r="A42" s="2" t="n">
        <v>41</v>
      </c>
      <c r="B42" s="3" t="s">
        <v>160</v>
      </c>
      <c r="C42" s="3" t="s">
        <v>195</v>
      </c>
      <c r="D42" s="3" t="s">
        <v>15</v>
      </c>
      <c r="E42" s="3" t="s">
        <v>16</v>
      </c>
      <c r="F42" s="2" t="s">
        <v>196</v>
      </c>
      <c r="G42" s="2" t="s">
        <v>18</v>
      </c>
      <c r="H42" s="4" t="s">
        <v>197</v>
      </c>
      <c r="I42" s="3" t="s">
        <v>66</v>
      </c>
      <c r="J42" s="3" t="s">
        <v>76</v>
      </c>
      <c r="K42" s="2" t="s">
        <v>22</v>
      </c>
      <c r="L42" s="2" t="s">
        <v>23</v>
      </c>
      <c r="M42" s="2" t="s">
        <v>24</v>
      </c>
    </row>
    <row r="43" customFormat="false" ht="15" hidden="false" customHeight="false" outlineLevel="0" collapsed="false">
      <c r="A43" s="2" t="n">
        <v>42</v>
      </c>
      <c r="B43" s="3" t="s">
        <v>160</v>
      </c>
      <c r="C43" s="3" t="s">
        <v>198</v>
      </c>
      <c r="D43" s="3" t="s">
        <v>25</v>
      </c>
      <c r="E43" s="3" t="s">
        <v>26</v>
      </c>
      <c r="F43" s="2" t="s">
        <v>199</v>
      </c>
      <c r="G43" s="2" t="s">
        <v>200</v>
      </c>
      <c r="H43" s="4" t="s">
        <v>201</v>
      </c>
      <c r="I43" s="2"/>
      <c r="J43" s="3" t="s">
        <v>38</v>
      </c>
      <c r="K43" s="2" t="s">
        <v>31</v>
      </c>
      <c r="L43" s="2" t="s">
        <v>23</v>
      </c>
      <c r="M43" s="2" t="s">
        <v>24</v>
      </c>
    </row>
  </sheetData>
  <autoFilter ref="A1:M43"/>
  <hyperlinks>
    <hyperlink ref="H2" r:id="rId1" display="https://apps.ks.ac.kr/eprofappl/eprofappl/index.jsp"/>
    <hyperlink ref="H3" r:id="rId2" display="https://cms1.ks.ac.kr/kscec/bbs/list.do?mId=0208000000&amp;ptIdx=201"/>
    <hyperlink ref="H4" r:id="rId3" display="https://kosinedu.com/sub04_1/776"/>
    <hyperlink ref="H5" r:id="rId4" display="https://kosinedu.com/sub04_1/2021"/>
    <hyperlink ref="H6" r:id="rId5" display="https://ee.pknu.ac.kr/ee/1669?action=view&amp;no=9934849"/>
    <hyperlink ref="H7" r:id="rId6" display="http://ps.pknu.ac.kr/"/>
    <hyperlink ref="H8" r:id="rId7" display="https://kcue.or.kr/notice/sub04.php?pagenumber=1&amp;at=view&amp;idx=657599"/>
    <hyperlink ref="H9" r:id="rId8" display="https://www.pknu.ac.kr/main/163?action=view&amp;no=723314"/>
    <hyperlink ref="H10" r:id="rId9" display="https://www.kmou.ac.kr/kmou/na/ntt/selectNttInfo.do?nttSn=10369063&amp;mi=2035"/>
    <hyperlink ref="H11" r:id="rId10" display="https://donga-edu.donga.ac.kr/community_notice/read.aspx?no=10288&amp;board_code=site9100"/>
    <hyperlink ref="H12" r:id="rId11" display="https://www.jinhakpro.com/recruit/37049"/>
    <hyperlink ref="H13" r:id="rId12" display="https://m.dit.ac.kr/kr/?idx=17100&amp;mode=view&amp;pCode=notice"/>
    <hyperlink ref="H14" r:id="rId13" display="https://lifelong.deu.ac.kr/Board/BoardView.aspx?CategoryNo=5&amp;PageNo=1&amp;KeyWord=&amp;KeyField=TITLE&amp;CategoryYN=Y&amp;BoardNo=190984&amp;BoardMstNo=1&amp;MENU_ID=141&amp;Secret=&amp;Secret_YN=N"/>
    <hyperlink ref="H15" r:id="rId14" display="https://edu.cup.ac.kr/"/>
    <hyperlink ref="H16" r:id="rId15" display="https://www.kcue.or.kr/notice/sub04.php?pagenumber=1&amp;at=view&amp;idx=657669"/>
    <hyperlink ref="H17" r:id="rId16" location="none" display="https://sce.pusan.ac.kr/#none"/>
    <hyperlink ref="H18" r:id="rId17" display="https://d-sce.pusan.ac.kr/kor/CMS/Board/Board.do?mCode=MN052"/>
    <hyperlink ref="H19" r:id="rId18" display="https://life.bhu.ac.kr/"/>
    <hyperlink ref="H20" r:id="rId19" display="https://www.jinhakpro.com/recruit/22963"/>
    <hyperlink ref="H21" r:id="rId20" display="https://pia-edu.com/notice/?bmode=view&amp;idx=161131935"/>
    <hyperlink ref="H22" r:id="rId21" display="https://pia-edu.com/notice/?bmode=view&amp;idx=168278318"/>
    <hyperlink ref="H23" r:id="rId22" display="https://pia-edu.com/notice/?q=YToxOntzOjEyOiJrZXl3b3JkX3R5cGUiO3M6MzoiYWxsIjt9&amp;bmode=view&amp;idx=169560243&amp;t=board"/>
    <hyperlink ref="H24" r:id="rId23" display="https://pia-edu.com/notice/?q=YToxOntzOjEyOiJrZXl3b3JkX3R5cGUiO3M6MzoiYWxsIjt9&amp;bmode=view&amp;idx=171246486&amp;t=board"/>
    <hyperlink ref="H25" r:id="rId24" display="https://lec.bufs.ac.kr/lec/index.php?pCode=MN000017&amp;mode=view&amp;idx=66631"/>
    <hyperlink ref="H26" r:id="rId25" display="https://soc.silla.ac.kr/Home/Sub04/NoticeBoard01.aspx?id=1116"/>
    <hyperlink ref="H27" r:id="rId26" display="https://ysedu.ysu.ac.kr/board/notice_edu/list.asp"/>
    <hyperlink ref="H28" r:id="rId27" display="https://www.jinhakpro.com/recruit/45759"/>
    <hyperlink ref="H29" r:id="rId28" display="https://edu.uc.ac.kr/edu/CMS/Board/Board.do?mCode=MN080"/>
    <hyperlink ref="H30" r:id="rId29" display="https://www.uc.ac.kr/edu/"/>
    <hyperlink ref="H31" r:id="rId30" display="https://cec.ulsan.ac.kr/cec/3978?action=view&amp;no=272609"/>
    <hyperlink ref="H32" r:id="rId31" display="https://cec.ulsan.ac.kr/cec/3978?action=view&amp;no=270342"/>
    <hyperlink ref="H33" r:id="rId32" display="https://life.kaya.ac.kr/pages/applicant/application.jsp"/>
    <hyperlink ref="H34" r:id="rId33" display="https://www.kyungnam.ac.kr/cce/3489/subview.do?enc=Zm5jdDF8QEB8JTJGYmJzJTJGY2NlJTJGMjQxJTJGMTgxMzkxJTJGYXJ0Y2xWaWV3LmRvJTNG"/>
    <hyperlink ref="H35" r:id="rId34" display="https://www.kyungnam.ac.kr/cce/14630/subview.do"/>
    <hyperlink ref="H36" r:id="rId35" display="https://longlife.gnu.ac.kr/sub.jsp?sID=0201"/>
    <hyperlink ref="H37" r:id="rId36" display="https://www.changwon.ac.kr/lifelong/na/ntt/selectNttList.do?mi=4771&amp;bbsId=1786"/>
    <hyperlink ref="H38" r:id="rId37" display="https://www.changwon.ac.kr/lifelong/na/ntt/selectNttList.do?mi=4774&amp;bbsId=1787"/>
    <hyperlink ref="H39" r:id="rId38" display="https://lifelong.masan.ac.kr/lectopen"/>
    <hyperlink ref="H40" r:id="rId39" display="https://lifelong.masan.ac.kr/lectopen/view/2025/20/010/999/13"/>
    <hyperlink ref="H41" r:id="rId40" display="https://lifelong.masan.ac.kr/lectopen/view/2026/20/010/999/13"/>
    <hyperlink ref="H42" r:id="rId41" display="https://www.jinhakpro.com/recruit/35038"/>
    <hyperlink ref="H43" r:id="rId42" display="https://lifelong.jhc.ac.kr/bbs/board.php?bo_table=sub4_1&amp;wr_id=5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customFormat="false" ht="15" hidden="false" customHeight="false" outlineLevel="0" collapsed="false">
      <c r="A2" s="3" t="s">
        <v>13</v>
      </c>
      <c r="B2" s="3" t="s">
        <v>207</v>
      </c>
      <c r="C2" s="3" t="s">
        <v>25</v>
      </c>
      <c r="D2" s="4" t="s">
        <v>208</v>
      </c>
      <c r="E2" s="3" t="s">
        <v>209</v>
      </c>
      <c r="F2" s="2" t="s">
        <v>210</v>
      </c>
      <c r="G2" s="2"/>
      <c r="H2" s="2" t="n">
        <f aca="false">COUNTIFS(공고목록!$C:$C,B2,공고목록!$E:$E,"&lt;&gt;일반강사채용(참고)")</f>
        <v>0</v>
      </c>
    </row>
    <row r="3" customFormat="false" ht="25.35" hidden="false" customHeight="false" outlineLevel="0" collapsed="false">
      <c r="A3" s="3" t="s">
        <v>13</v>
      </c>
      <c r="B3" s="3" t="s">
        <v>14</v>
      </c>
      <c r="C3" s="3" t="s">
        <v>25</v>
      </c>
      <c r="D3" s="4" t="s">
        <v>211</v>
      </c>
      <c r="E3" s="3" t="s">
        <v>212</v>
      </c>
      <c r="F3" s="2" t="s">
        <v>213</v>
      </c>
      <c r="G3" s="2"/>
      <c r="H3" s="2" t="n">
        <f aca="false">COUNTIFS(공고목록!$C:$C,B3,공고목록!$E:$E,"&lt;&gt;일반강사채용(참고)")</f>
        <v>1</v>
      </c>
    </row>
    <row r="4" customFormat="false" ht="25.35" hidden="false" customHeight="false" outlineLevel="0" collapsed="false">
      <c r="A4" s="3" t="s">
        <v>13</v>
      </c>
      <c r="B4" s="3" t="s">
        <v>32</v>
      </c>
      <c r="C4" s="3" t="s">
        <v>25</v>
      </c>
      <c r="D4" s="4" t="s">
        <v>214</v>
      </c>
      <c r="E4" s="3" t="s">
        <v>215</v>
      </c>
      <c r="F4" s="2" t="s">
        <v>216</v>
      </c>
      <c r="G4" s="2"/>
      <c r="H4" s="2" t="n">
        <f aca="false">COUNTIFS(공고목록!$C:$C,B4,공고목록!$E:$E,"&lt;&gt;일반강사채용(참고)")</f>
        <v>2</v>
      </c>
    </row>
    <row r="5" customFormat="false" ht="15" hidden="false" customHeight="false" outlineLevel="0" collapsed="false">
      <c r="A5" s="3" t="s">
        <v>13</v>
      </c>
      <c r="B5" s="3" t="s">
        <v>43</v>
      </c>
      <c r="C5" s="3" t="s">
        <v>25</v>
      </c>
      <c r="D5" s="4" t="s">
        <v>51</v>
      </c>
      <c r="E5" s="3" t="s">
        <v>217</v>
      </c>
      <c r="F5" s="2" t="s">
        <v>218</v>
      </c>
      <c r="G5" s="2"/>
      <c r="H5" s="2" t="n">
        <f aca="false">COUNTIFS(공고목록!$C:$C,B5,공고목록!$E:$E,"&lt;&gt;일반강사채용(참고)")</f>
        <v>3</v>
      </c>
    </row>
    <row r="6" customFormat="false" ht="15" hidden="false" customHeight="false" outlineLevel="0" collapsed="false">
      <c r="A6" s="3" t="s">
        <v>13</v>
      </c>
      <c r="B6" s="3" t="s">
        <v>63</v>
      </c>
      <c r="C6" s="3" t="s">
        <v>25</v>
      </c>
      <c r="D6" s="4" t="s">
        <v>219</v>
      </c>
      <c r="E6" s="3" t="s">
        <v>220</v>
      </c>
      <c r="F6" s="2"/>
      <c r="G6" s="2"/>
      <c r="H6" s="2" t="n">
        <f aca="false">COUNTIFS(공고목록!$C:$C,B6,공고목록!$E:$E,"&lt;&gt;일반강사채용(참고)")</f>
        <v>0</v>
      </c>
    </row>
    <row r="7" customFormat="false" ht="25.35" hidden="false" customHeight="false" outlineLevel="0" collapsed="false">
      <c r="A7" s="3" t="s">
        <v>13</v>
      </c>
      <c r="B7" s="3" t="s">
        <v>221</v>
      </c>
      <c r="C7" s="3" t="s">
        <v>25</v>
      </c>
      <c r="D7" s="4" t="s">
        <v>222</v>
      </c>
      <c r="E7" s="3" t="s">
        <v>223</v>
      </c>
      <c r="F7" s="2"/>
      <c r="G7" s="2"/>
      <c r="H7" s="2" t="n">
        <f aca="false">COUNTIFS(공고목록!$C:$C,B7,공고목록!$E:$E,"&lt;&gt;일반강사채용(참고)")</f>
        <v>0</v>
      </c>
    </row>
    <row r="8" customFormat="false" ht="15" hidden="false" customHeight="false" outlineLevel="0" collapsed="false">
      <c r="A8" s="3" t="s">
        <v>13</v>
      </c>
      <c r="B8" s="3" t="s">
        <v>67</v>
      </c>
      <c r="C8" s="3" t="s">
        <v>25</v>
      </c>
      <c r="D8" s="4" t="s">
        <v>224</v>
      </c>
      <c r="E8" s="3" t="s">
        <v>225</v>
      </c>
      <c r="F8" s="2" t="s">
        <v>226</v>
      </c>
      <c r="G8" s="2"/>
      <c r="H8" s="2" t="n">
        <f aca="false">COUNTIFS(공고목록!$C:$C,B8,공고목록!$E:$E,"&lt;&gt;일반강사채용(참고)")</f>
        <v>1</v>
      </c>
    </row>
    <row r="9" customFormat="false" ht="26.85" hidden="false" customHeight="false" outlineLevel="0" collapsed="false">
      <c r="A9" s="3" t="s">
        <v>13</v>
      </c>
      <c r="B9" s="3" t="s">
        <v>77</v>
      </c>
      <c r="C9" s="3" t="s">
        <v>25</v>
      </c>
      <c r="D9" s="4" t="s">
        <v>227</v>
      </c>
      <c r="E9" s="3" t="s">
        <v>228</v>
      </c>
      <c r="F9" s="2"/>
      <c r="G9" s="2"/>
      <c r="H9" s="2" t="n">
        <f aca="false">COUNTIFS(공고목록!$C:$C,B9,공고목록!$E:$E,"&lt;&gt;일반강사채용(참고)")</f>
        <v>1</v>
      </c>
    </row>
    <row r="10" customFormat="false" ht="25.35" hidden="false" customHeight="false" outlineLevel="0" collapsed="false">
      <c r="A10" s="3" t="s">
        <v>13</v>
      </c>
      <c r="B10" s="3" t="s">
        <v>82</v>
      </c>
      <c r="C10" s="3" t="s">
        <v>83</v>
      </c>
      <c r="D10" s="4" t="s">
        <v>229</v>
      </c>
      <c r="E10" s="3" t="s">
        <v>230</v>
      </c>
      <c r="F10" s="2" t="s">
        <v>231</v>
      </c>
      <c r="G10" s="2"/>
      <c r="H10" s="2" t="n">
        <f aca="false">COUNTIFS(공고목록!$C:$C,B10,공고목록!$E:$E,"&lt;&gt;일반강사채용(참고)")</f>
        <v>1</v>
      </c>
    </row>
    <row r="11" customFormat="false" ht="15" hidden="false" customHeight="false" outlineLevel="0" collapsed="false">
      <c r="A11" s="3" t="s">
        <v>13</v>
      </c>
      <c r="B11" s="3" t="s">
        <v>87</v>
      </c>
      <c r="C11" s="3" t="s">
        <v>25</v>
      </c>
      <c r="D11" s="4" t="s">
        <v>91</v>
      </c>
      <c r="E11" s="3" t="s">
        <v>232</v>
      </c>
      <c r="F11" s="2" t="s">
        <v>233</v>
      </c>
      <c r="G11" s="2"/>
      <c r="H11" s="2" t="n">
        <f aca="false">COUNTIFS(공고목록!$C:$C,B11,공고목록!$E:$E,"&lt;&gt;일반강사채용(참고)")</f>
        <v>1</v>
      </c>
    </row>
    <row r="12" customFormat="false" ht="15" hidden="false" customHeight="false" outlineLevel="0" collapsed="false">
      <c r="A12" s="3" t="s">
        <v>13</v>
      </c>
      <c r="B12" s="3" t="s">
        <v>234</v>
      </c>
      <c r="C12" s="3" t="s">
        <v>25</v>
      </c>
      <c r="D12" s="4" t="s">
        <v>235</v>
      </c>
      <c r="E12" s="2" t="s">
        <v>236</v>
      </c>
      <c r="F12" s="2"/>
      <c r="G12" s="2"/>
      <c r="H12" s="2" t="n">
        <f aca="false">COUNTIFS(공고목록!$C:$C,B12,공고목록!$E:$E,"&lt;&gt;일반강사채용(참고)")</f>
        <v>0</v>
      </c>
    </row>
    <row r="13" customFormat="false" ht="15" hidden="false" customHeight="false" outlineLevel="0" collapsed="false">
      <c r="A13" s="3" t="s">
        <v>13</v>
      </c>
      <c r="B13" s="3" t="s">
        <v>237</v>
      </c>
      <c r="C13" s="3" t="s">
        <v>25</v>
      </c>
      <c r="D13" s="4" t="s">
        <v>238</v>
      </c>
      <c r="E13" s="3" t="s">
        <v>239</v>
      </c>
      <c r="F13" s="2"/>
      <c r="G13" s="2"/>
      <c r="H13" s="2" t="n">
        <f aca="false">COUNTIFS(공고목록!$C:$C,B13,공고목록!$E:$E,"&lt;&gt;일반강사채용(참고)")</f>
        <v>0</v>
      </c>
    </row>
    <row r="14" customFormat="false" ht="15" hidden="false" customHeight="false" outlineLevel="0" collapsed="false">
      <c r="A14" s="3" t="s">
        <v>13</v>
      </c>
      <c r="B14" s="3" t="s">
        <v>94</v>
      </c>
      <c r="C14" s="3" t="s">
        <v>25</v>
      </c>
      <c r="D14" s="4" t="s">
        <v>240</v>
      </c>
      <c r="E14" s="3" t="s">
        <v>241</v>
      </c>
      <c r="F14" s="2"/>
      <c r="G14" s="2"/>
      <c r="H14" s="2" t="n">
        <f aca="false">COUNTIFS(공고목록!$C:$C,B14,공고목록!$E:$E,"&lt;&gt;일반강사채용(참고)")</f>
        <v>0</v>
      </c>
    </row>
    <row r="15" customFormat="false" ht="26.85" hidden="false" customHeight="false" outlineLevel="0" collapsed="false">
      <c r="A15" s="3" t="s">
        <v>13</v>
      </c>
      <c r="B15" s="3" t="s">
        <v>97</v>
      </c>
      <c r="C15" s="3" t="s">
        <v>98</v>
      </c>
      <c r="D15" s="4" t="s">
        <v>242</v>
      </c>
      <c r="E15" s="3" t="s">
        <v>243</v>
      </c>
      <c r="F15" s="2" t="s">
        <v>244</v>
      </c>
      <c r="G15" s="2"/>
      <c r="H15" s="2" t="n">
        <f aca="false">COUNTIFS(공고목록!$C:$C,B15,공고목록!$E:$E,"&lt;&gt;일반강사채용(참고)")</f>
        <v>2</v>
      </c>
    </row>
    <row r="16" customFormat="false" ht="15" hidden="false" customHeight="false" outlineLevel="0" collapsed="false">
      <c r="A16" s="3" t="s">
        <v>13</v>
      </c>
      <c r="B16" s="3" t="s">
        <v>245</v>
      </c>
      <c r="C16" s="3" t="s">
        <v>25</v>
      </c>
      <c r="D16" s="4" t="s">
        <v>246</v>
      </c>
      <c r="E16" s="3" t="s">
        <v>247</v>
      </c>
      <c r="F16" s="2"/>
      <c r="G16" s="2"/>
      <c r="H16" s="2" t="n">
        <f aca="false">COUNTIFS(공고목록!$C:$C,B16,공고목록!$E:$E,"&lt;&gt;일반강사채용(참고)")</f>
        <v>0</v>
      </c>
    </row>
    <row r="17" customFormat="false" ht="15" hidden="false" customHeight="false" outlineLevel="0" collapsed="false">
      <c r="A17" s="3" t="s">
        <v>13</v>
      </c>
      <c r="B17" s="3" t="s">
        <v>107</v>
      </c>
      <c r="C17" s="3" t="s">
        <v>25</v>
      </c>
      <c r="D17" s="4" t="s">
        <v>109</v>
      </c>
      <c r="E17" s="3" t="s">
        <v>248</v>
      </c>
      <c r="F17" s="2" t="s">
        <v>249</v>
      </c>
      <c r="G17" s="2"/>
      <c r="H17" s="2" t="n">
        <f aca="false">COUNTIFS(공고목록!$C:$C,B17,공고목록!$E:$E,"&lt;&gt;일반강사채용(참고)")</f>
        <v>1</v>
      </c>
    </row>
    <row r="18" customFormat="false" ht="15" hidden="false" customHeight="false" outlineLevel="0" collapsed="false">
      <c r="A18" s="3" t="s">
        <v>13</v>
      </c>
      <c r="B18" s="3" t="s">
        <v>112</v>
      </c>
      <c r="C18" s="3" t="s">
        <v>25</v>
      </c>
      <c r="D18" s="4" t="s">
        <v>250</v>
      </c>
      <c r="E18" s="2" t="s">
        <v>236</v>
      </c>
      <c r="F18" s="2"/>
      <c r="G18" s="2"/>
      <c r="H18" s="2" t="n">
        <f aca="false">COUNTIFS(공고목록!$C:$C,B18,공고목록!$E:$E,"&lt;&gt;일반강사채용(참고)")</f>
        <v>0</v>
      </c>
    </row>
    <row r="19" customFormat="false" ht="23.85" hidden="false" customHeight="false" outlineLevel="0" collapsed="false">
      <c r="A19" s="3" t="s">
        <v>13</v>
      </c>
      <c r="B19" s="3" t="s">
        <v>115</v>
      </c>
      <c r="C19" s="3" t="s">
        <v>25</v>
      </c>
      <c r="D19" s="4" t="s">
        <v>251</v>
      </c>
      <c r="E19" s="3" t="s">
        <v>252</v>
      </c>
      <c r="F19" s="2" t="s">
        <v>253</v>
      </c>
      <c r="G19" s="2"/>
      <c r="H19" s="2" t="n">
        <f aca="false">COUNTIFS(공고목록!$C:$C,B19,공고목록!$E:$E,"&lt;&gt;일반강사채용(참고)")</f>
        <v>4</v>
      </c>
    </row>
    <row r="20" customFormat="false" ht="15" hidden="false" customHeight="false" outlineLevel="0" collapsed="false">
      <c r="A20" s="3" t="s">
        <v>13</v>
      </c>
      <c r="B20" s="3" t="s">
        <v>130</v>
      </c>
      <c r="C20" s="3" t="s">
        <v>25</v>
      </c>
      <c r="D20" s="4" t="s">
        <v>254</v>
      </c>
      <c r="E20" s="3" t="s">
        <v>255</v>
      </c>
      <c r="F20" s="2"/>
      <c r="G20" s="2"/>
      <c r="H20" s="2" t="n">
        <f aca="false">COUNTIFS(공고목록!$C:$C,B20,공고목록!$E:$E,"&lt;&gt;일반강사채용(참고)")</f>
        <v>1</v>
      </c>
    </row>
    <row r="21" customFormat="false" ht="15" hidden="false" customHeight="false" outlineLevel="0" collapsed="false">
      <c r="A21" s="3" t="s">
        <v>13</v>
      </c>
      <c r="B21" s="3" t="s">
        <v>135</v>
      </c>
      <c r="C21" s="3" t="s">
        <v>25</v>
      </c>
      <c r="D21" s="4" t="s">
        <v>256</v>
      </c>
      <c r="E21" s="3" t="s">
        <v>257</v>
      </c>
      <c r="F21" s="2"/>
      <c r="G21" s="2"/>
      <c r="H21" s="2" t="n">
        <f aca="false">COUNTIFS(공고목록!$C:$C,B21,공고목록!$E:$E,"&lt;&gt;일반강사채용(참고)")</f>
        <v>1</v>
      </c>
    </row>
    <row r="22" customFormat="false" ht="15" hidden="false" customHeight="false" outlineLevel="0" collapsed="false">
      <c r="A22" s="3" t="s">
        <v>13</v>
      </c>
      <c r="B22" s="3" t="s">
        <v>139</v>
      </c>
      <c r="C22" s="3" t="s">
        <v>258</v>
      </c>
      <c r="D22" s="4" t="s">
        <v>259</v>
      </c>
      <c r="E22" s="3" t="s">
        <v>260</v>
      </c>
      <c r="F22" s="2" t="s">
        <v>261</v>
      </c>
      <c r="G22" s="2"/>
      <c r="H22" s="2" t="n">
        <f aca="false">COUNTIFS(공고목록!$C:$C,B22,공고목록!$E:$E,"&lt;&gt;일반강사채용(참고)")</f>
        <v>1</v>
      </c>
    </row>
    <row r="23" customFormat="false" ht="26.85" hidden="false" customHeight="false" outlineLevel="0" collapsed="false">
      <c r="A23" s="3" t="s">
        <v>145</v>
      </c>
      <c r="B23" s="3" t="s">
        <v>146</v>
      </c>
      <c r="C23" s="3" t="s">
        <v>25</v>
      </c>
      <c r="D23" s="4" t="s">
        <v>150</v>
      </c>
      <c r="E23" s="3" t="s">
        <v>262</v>
      </c>
      <c r="F23" s="2" t="s">
        <v>263</v>
      </c>
      <c r="G23" s="2"/>
      <c r="H23" s="2" t="n">
        <f aca="false">COUNTIFS(공고목록!$C:$C,B23,공고목록!$E:$E,"&lt;&gt;일반강사채용(참고)")</f>
        <v>2</v>
      </c>
    </row>
    <row r="24" customFormat="false" ht="15" hidden="false" customHeight="false" outlineLevel="0" collapsed="false">
      <c r="A24" s="3" t="s">
        <v>145</v>
      </c>
      <c r="B24" s="3" t="s">
        <v>152</v>
      </c>
      <c r="C24" s="3" t="s">
        <v>25</v>
      </c>
      <c r="D24" s="4" t="s">
        <v>264</v>
      </c>
      <c r="E24" s="3" t="s">
        <v>265</v>
      </c>
      <c r="F24" s="2" t="s">
        <v>266</v>
      </c>
      <c r="G24" s="2" t="s">
        <v>267</v>
      </c>
      <c r="H24" s="2" t="n">
        <f aca="false">COUNTIFS(공고목록!$C:$C,B24,공고목록!$E:$E,"&lt;&gt;일반강사채용(참고)")</f>
        <v>2</v>
      </c>
    </row>
    <row r="25" customFormat="false" ht="15" hidden="false" customHeight="false" outlineLevel="0" collapsed="false">
      <c r="A25" s="3" t="s">
        <v>145</v>
      </c>
      <c r="B25" s="3" t="s">
        <v>268</v>
      </c>
      <c r="C25" s="3" t="s">
        <v>25</v>
      </c>
      <c r="D25" s="4" t="s">
        <v>269</v>
      </c>
      <c r="E25" s="3" t="s">
        <v>270</v>
      </c>
      <c r="F25" s="2"/>
      <c r="G25" s="2"/>
      <c r="H25" s="2" t="n">
        <f aca="false">COUNTIFS(공고목록!$C:$C,B25,공고목록!$E:$E,"&lt;&gt;일반강사채용(참고)")</f>
        <v>0</v>
      </c>
    </row>
    <row r="26" customFormat="false" ht="15" hidden="false" customHeight="false" outlineLevel="0" collapsed="false">
      <c r="A26" s="3" t="s">
        <v>160</v>
      </c>
      <c r="B26" s="3" t="s">
        <v>161</v>
      </c>
      <c r="C26" s="3" t="s">
        <v>25</v>
      </c>
      <c r="D26" s="4" t="s">
        <v>271</v>
      </c>
      <c r="E26" s="3" t="s">
        <v>272</v>
      </c>
      <c r="F26" s="2" t="s">
        <v>273</v>
      </c>
      <c r="G26" s="2"/>
      <c r="H26" s="2" t="n">
        <f aca="false">COUNTIFS(공고목록!$C:$C,B26,공고목록!$E:$E,"&lt;&gt;일반강사채용(참고)")</f>
        <v>1</v>
      </c>
    </row>
    <row r="27" customFormat="false" ht="15" hidden="false" customHeight="false" outlineLevel="0" collapsed="false">
      <c r="A27" s="3" t="s">
        <v>160</v>
      </c>
      <c r="B27" s="3" t="s">
        <v>274</v>
      </c>
      <c r="C27" s="3" t="s">
        <v>25</v>
      </c>
      <c r="D27" s="4" t="s">
        <v>275</v>
      </c>
      <c r="E27" s="2" t="s">
        <v>236</v>
      </c>
      <c r="F27" s="2"/>
      <c r="G27" s="2"/>
      <c r="H27" s="2" t="n">
        <f aca="false">COUNTIFS(공고목록!$C:$C,B27,공고목록!$E:$E,"&lt;&gt;일반강사채용(참고)")</f>
        <v>0</v>
      </c>
    </row>
    <row r="28" customFormat="false" ht="26.85" hidden="false" customHeight="false" outlineLevel="0" collapsed="false">
      <c r="A28" s="3" t="s">
        <v>160</v>
      </c>
      <c r="B28" s="3" t="s">
        <v>165</v>
      </c>
      <c r="C28" s="3" t="s">
        <v>25</v>
      </c>
      <c r="D28" s="4" t="s">
        <v>276</v>
      </c>
      <c r="E28" s="3" t="s">
        <v>277</v>
      </c>
      <c r="F28" s="2" t="s">
        <v>278</v>
      </c>
      <c r="G28" s="2"/>
      <c r="H28" s="2" t="n">
        <f aca="false">COUNTIFS(공고목록!$C:$C,B28,공고목록!$E:$E,"&lt;&gt;일반강사채용(참고)")</f>
        <v>2</v>
      </c>
    </row>
    <row r="29" customFormat="false" ht="15" hidden="false" customHeight="false" outlineLevel="0" collapsed="false">
      <c r="A29" s="3" t="s">
        <v>160</v>
      </c>
      <c r="B29" s="3" t="s">
        <v>173</v>
      </c>
      <c r="C29" s="3" t="s">
        <v>25</v>
      </c>
      <c r="D29" s="4" t="s">
        <v>279</v>
      </c>
      <c r="E29" s="3" t="s">
        <v>280</v>
      </c>
      <c r="F29" s="2"/>
      <c r="G29" s="2"/>
      <c r="H29" s="2" t="n">
        <f aca="false">COUNTIFS(공고목록!$C:$C,B29,공고목록!$E:$E,"&lt;&gt;일반강사채용(참고)")</f>
        <v>1</v>
      </c>
    </row>
    <row r="30" customFormat="false" ht="49.25" hidden="false" customHeight="false" outlineLevel="0" collapsed="false">
      <c r="A30" s="3" t="s">
        <v>160</v>
      </c>
      <c r="B30" s="3" t="s">
        <v>178</v>
      </c>
      <c r="C30" s="3" t="s">
        <v>25</v>
      </c>
      <c r="D30" s="4" t="s">
        <v>281</v>
      </c>
      <c r="E30" s="3" t="s">
        <v>282</v>
      </c>
      <c r="F30" s="2" t="s">
        <v>283</v>
      </c>
      <c r="G30" s="2"/>
      <c r="H30" s="2" t="n">
        <f aca="false">COUNTIFS(공고목록!$C:$C,B30,공고목록!$E:$E,"&lt;&gt;일반강사채용(참고)")</f>
        <v>2</v>
      </c>
    </row>
    <row r="31" customFormat="false" ht="15" hidden="false" customHeight="false" outlineLevel="0" collapsed="false">
      <c r="A31" s="3" t="s">
        <v>160</v>
      </c>
      <c r="B31" s="3" t="s">
        <v>284</v>
      </c>
      <c r="C31" s="3" t="s">
        <v>25</v>
      </c>
      <c r="D31" s="4" t="s">
        <v>285</v>
      </c>
      <c r="E31" s="2" t="s">
        <v>236</v>
      </c>
      <c r="F31" s="2"/>
      <c r="G31" s="2"/>
      <c r="H31" s="2" t="n">
        <f aca="false">COUNTIFS(공고목록!$C:$C,B31,공고목록!$E:$E,"&lt;&gt;일반강사채용(참고)")</f>
        <v>0</v>
      </c>
    </row>
    <row r="32" customFormat="false" ht="15" hidden="false" customHeight="false" outlineLevel="0" collapsed="false">
      <c r="A32" s="3" t="s">
        <v>160</v>
      </c>
      <c r="B32" s="3" t="s">
        <v>286</v>
      </c>
      <c r="C32" s="3" t="s">
        <v>25</v>
      </c>
      <c r="D32" s="4" t="s">
        <v>287</v>
      </c>
      <c r="E32" s="2" t="s">
        <v>236</v>
      </c>
      <c r="F32" s="2"/>
      <c r="G32" s="2"/>
      <c r="H32" s="2" t="n">
        <f aca="false">COUNTIFS(공고목록!$C:$C,B32,공고목록!$E:$E,"&lt;&gt;일반강사채용(참고)")</f>
        <v>0</v>
      </c>
    </row>
    <row r="33" customFormat="false" ht="15" hidden="false" customHeight="false" outlineLevel="0" collapsed="false">
      <c r="A33" s="3" t="s">
        <v>160</v>
      </c>
      <c r="B33" s="3" t="s">
        <v>288</v>
      </c>
      <c r="C33" s="3" t="s">
        <v>25</v>
      </c>
      <c r="D33" s="4" t="s">
        <v>289</v>
      </c>
      <c r="E33" s="2" t="s">
        <v>236</v>
      </c>
      <c r="F33" s="2"/>
      <c r="G33" s="2"/>
      <c r="H33" s="2" t="n">
        <f aca="false">COUNTIFS(공고목록!$C:$C,B33,공고목록!$E:$E,"&lt;&gt;일반강사채용(참고)")</f>
        <v>0</v>
      </c>
    </row>
    <row r="34" customFormat="false" ht="15" hidden="false" customHeight="false" outlineLevel="0" collapsed="false">
      <c r="A34" s="3" t="s">
        <v>160</v>
      </c>
      <c r="B34" s="3" t="s">
        <v>186</v>
      </c>
      <c r="C34" s="3" t="s">
        <v>25</v>
      </c>
      <c r="D34" s="4" t="s">
        <v>290</v>
      </c>
      <c r="E34" s="3" t="s">
        <v>291</v>
      </c>
      <c r="F34" s="2"/>
      <c r="G34" s="2"/>
      <c r="H34" s="2" t="n">
        <f aca="false">COUNTIFS(공고목록!$C:$C,B34,공고목록!$E:$E,"&lt;&gt;일반강사채용(참고)")</f>
        <v>3</v>
      </c>
    </row>
    <row r="35" customFormat="false" ht="15" hidden="false" customHeight="false" outlineLevel="0" collapsed="false">
      <c r="A35" s="3" t="s">
        <v>160</v>
      </c>
      <c r="B35" s="3" t="s">
        <v>292</v>
      </c>
      <c r="C35" s="3" t="s">
        <v>25</v>
      </c>
      <c r="D35" s="4" t="s">
        <v>293</v>
      </c>
      <c r="E35" s="2" t="s">
        <v>236</v>
      </c>
      <c r="F35" s="2"/>
      <c r="G35" s="2"/>
      <c r="H35" s="2" t="n">
        <f aca="false">COUNTIFS(공고목록!$C:$C,B35,공고목록!$E:$E,"&lt;&gt;일반강사채용(참고)")</f>
        <v>0</v>
      </c>
    </row>
    <row r="36" customFormat="false" ht="36.55" hidden="false" customHeight="false" outlineLevel="0" collapsed="false">
      <c r="A36" s="3" t="s">
        <v>160</v>
      </c>
      <c r="B36" s="3" t="s">
        <v>195</v>
      </c>
      <c r="C36" s="3" t="s">
        <v>83</v>
      </c>
      <c r="D36" s="4" t="s">
        <v>294</v>
      </c>
      <c r="E36" s="3" t="s">
        <v>295</v>
      </c>
      <c r="F36" s="2"/>
      <c r="G36" s="2"/>
      <c r="H36" s="2" t="n">
        <f aca="false">COUNTIFS(공고목록!$C:$C,B36,공고목록!$E:$E,"&lt;&gt;일반강사채용(참고)")</f>
        <v>0</v>
      </c>
    </row>
    <row r="37" customFormat="false" ht="15" hidden="false" customHeight="false" outlineLevel="0" collapsed="false">
      <c r="A37" s="3" t="s">
        <v>160</v>
      </c>
      <c r="B37" s="3" t="s">
        <v>198</v>
      </c>
      <c r="C37" s="3" t="s">
        <v>25</v>
      </c>
      <c r="D37" s="4" t="s">
        <v>296</v>
      </c>
      <c r="E37" s="3" t="s">
        <v>297</v>
      </c>
      <c r="F37" s="2" t="s">
        <v>298</v>
      </c>
      <c r="G37" s="2"/>
      <c r="H37" s="2" t="n">
        <f aca="false">COUNTIFS(공고목록!$C:$C,B37,공고목록!$E:$E,"&lt;&gt;일반강사채용(참고)")</f>
        <v>1</v>
      </c>
    </row>
    <row r="38" customFormat="false" ht="15" hidden="false" customHeight="false" outlineLevel="0" collapsed="false">
      <c r="A38" s="3" t="s">
        <v>160</v>
      </c>
      <c r="B38" s="3" t="s">
        <v>299</v>
      </c>
      <c r="C38" s="3" t="s">
        <v>25</v>
      </c>
      <c r="D38" s="4" t="s">
        <v>300</v>
      </c>
      <c r="E38" s="3" t="s">
        <v>301</v>
      </c>
      <c r="F38" s="2" t="s">
        <v>302</v>
      </c>
      <c r="G38" s="2"/>
      <c r="H38" s="2" t="n">
        <f aca="false">COUNTIFS(공고목록!$C:$C,B38,공고목록!$E:$E,"&lt;&gt;일반강사채용(참고)")</f>
        <v>0</v>
      </c>
    </row>
    <row r="39" customFormat="false" ht="15" hidden="false" customHeight="false" outlineLevel="0" collapsed="false">
      <c r="A39" s="3" t="s">
        <v>160</v>
      </c>
      <c r="B39" s="3" t="s">
        <v>303</v>
      </c>
      <c r="C39" s="3" t="s">
        <v>25</v>
      </c>
      <c r="D39" s="4" t="s">
        <v>304</v>
      </c>
      <c r="E39" s="2" t="s">
        <v>236</v>
      </c>
      <c r="F39" s="2"/>
      <c r="G39" s="2"/>
      <c r="H39" s="2" t="n">
        <f aca="false">COUNTIFS(공고목록!$C:$C,B39,공고목록!$E:$E,"&lt;&gt;일반강사채용(참고)")</f>
        <v>0</v>
      </c>
    </row>
  </sheetData>
  <autoFilter ref="A1:H39"/>
  <hyperlinks>
    <hyperlink ref="D2" r:id="rId1" display="https://cei.kit.ac.kr/cei/"/>
    <hyperlink ref="D3" r:id="rId2" display="https://cms1.ks.ac.kr/kscec/Main.do"/>
    <hyperlink ref="D4" r:id="rId3" display="https://kosinedu.com/"/>
    <hyperlink ref="D5" r:id="rId4" display="http://ps.pknu.ac.kr/"/>
    <hyperlink ref="D6" r:id="rId5" display="https://www.kmou.ac.kr/edu/main.do"/>
    <hyperlink ref="D7" r:id="rId6" display="https://uni.dongseo.ac.kr/continuing/"/>
    <hyperlink ref="D8" r:id="rId7" display="https://donga-edu.donga.ac.kr/"/>
    <hyperlink ref="D9" r:id="rId8" display="https://ce.dit.ac.kr/dit/"/>
    <hyperlink ref="D10" r:id="rId9" display="https://lifelong.deu.ac.kr/"/>
    <hyperlink ref="D11" r:id="rId10" display="https://edu.cup.ac.kr/"/>
    <hyperlink ref="D12" r:id="rId11" display="https://www.bsks.ac.kr/"/>
    <hyperlink ref="D13" r:id="rId12" display="https://life.bist.ac.kr/"/>
    <hyperlink ref="D14" r:id="rId13" display="https://www.bnue.ac.kr/"/>
    <hyperlink ref="D15" r:id="rId14" display="https://sce.pusan.ac.kr/"/>
    <hyperlink ref="D16" r:id="rId15" display="http://www.bdu.ac.kr/edulife/index.do"/>
    <hyperlink ref="D17" r:id="rId16" display="https://life.bhu.ac.kr/"/>
    <hyperlink ref="D18" r:id="rId17" display="https://www.bwc.ac.kr/"/>
    <hyperlink ref="D19" r:id="rId18" display="https://pia-edu.com/"/>
    <hyperlink ref="D20" r:id="rId19" display="https://lec.bufs.ac.kr/"/>
    <hyperlink ref="D21" r:id="rId20" display="https://soc.silla.ac.kr/"/>
    <hyperlink ref="D22" r:id="rId21" display="https://ysedu.ysu.ac.kr/"/>
    <hyperlink ref="D23" r:id="rId22" display="https://www.uc.ac.kr/edu/"/>
    <hyperlink ref="D24" r:id="rId23" display="https://cec.ulsan.ac.kr/cec"/>
    <hyperlink ref="D25" r:id="rId24" display="https://edu.ch.ac.kr/"/>
    <hyperlink ref="D26" r:id="rId25" display="https://life.kaya.ac.kr/"/>
    <hyperlink ref="D27" r:id="rId26" display="https://www.koje.ac.kr/"/>
    <hyperlink ref="D28" r:id="rId27" display="https://www.kyungnam.ac.kr/sites/cce/index..do"/>
    <hyperlink ref="D29" r:id="rId28" display="https://longlife.gnu.ac.kr/"/>
    <hyperlink ref="D30" r:id="rId29" display="https://www.changwon.ac.kr/lifelong/main.do"/>
    <hyperlink ref="D31" r:id="rId30" display="https://psl.gc.ac.kr/M0101/"/>
    <hyperlink ref="D32" r:id="rId31" display="https://www.gimhae.ac.kr/"/>
    <hyperlink ref="D33" r:id="rId32" display="https://www.dongwon.ac.kr/"/>
    <hyperlink ref="D34" r:id="rId33" display="https://lifelong.masan.ac.kr/main"/>
    <hyperlink ref="D35" r:id="rId34" display="https://www.yc.ac.kr/"/>
    <hyperlink ref="D36" r:id="rId35" display="https://soc.inje.ac.kr/"/>
    <hyperlink ref="D37" r:id="rId36" display="https://lifelong.jhc.ac.kr/"/>
    <hyperlink ref="D38" r:id="rId37" display="https://ice.cs.ac.kr/"/>
    <hyperlink ref="D39" r:id="rId38" display="https://www.cmu.ac.k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7"/>
  </cols>
  <sheetData>
    <row r="1" customFormat="false" ht="16.4" hidden="false" customHeight="false" outlineLevel="0" collapsed="false">
      <c r="A1" s="5" t="s">
        <v>305</v>
      </c>
    </row>
    <row r="3" customFormat="false" ht="30" hidden="false" customHeight="true" outlineLevel="0" collapsed="false">
      <c r="A3" s="1" t="s">
        <v>1</v>
      </c>
      <c r="B3" s="1" t="s">
        <v>33</v>
      </c>
      <c r="C3" s="1" t="s">
        <v>26</v>
      </c>
      <c r="D3" s="1" t="s">
        <v>44</v>
      </c>
      <c r="E3" s="1" t="s">
        <v>306</v>
      </c>
      <c r="F3" s="1" t="s">
        <v>307</v>
      </c>
      <c r="G3" s="1" t="s">
        <v>102</v>
      </c>
      <c r="H3" s="1" t="s">
        <v>308</v>
      </c>
      <c r="I3" s="1" t="s">
        <v>309</v>
      </c>
    </row>
    <row r="4" customFormat="false" ht="15" hidden="false" customHeight="false" outlineLevel="0" collapsed="false">
      <c r="A4" s="6" t="s">
        <v>13</v>
      </c>
      <c r="B4" s="6" t="n">
        <f aca="false">COUNTIFS(공고목록!$B:$B,$A4,공고목록!$E:$E,B$3)</f>
        <v>10</v>
      </c>
      <c r="C4" s="6" t="n">
        <f aca="false">COUNTIFS(공고목록!$B:$B,$A4,공고목록!$E:$E,C$3)</f>
        <v>2</v>
      </c>
      <c r="D4" s="6" t="n">
        <f aca="false">COUNTIFS(공고목록!$B:$B,$A4,공고목록!$E:$E,D$3)</f>
        <v>3</v>
      </c>
      <c r="E4" s="6" t="n">
        <f aca="false">COUNTIFS(공고목록!$B:$B,$A4,공고목록!$E:$E,E$3)</f>
        <v>3</v>
      </c>
      <c r="F4" s="6" t="n">
        <f aca="false">COUNTIFS(공고목록!$B:$B,$A4,공고목록!$E:$E,F$3)</f>
        <v>1</v>
      </c>
      <c r="G4" s="6" t="n">
        <f aca="false">COUNTIFS(공고목록!$B:$B,$A4,공고목록!$E:$E,G$3)</f>
        <v>1</v>
      </c>
      <c r="H4" s="6" t="n">
        <f aca="false">COUNTIFS(공고목록!$B:$B,$A4,공고목록!$E:$E,H$3)</f>
        <v>7</v>
      </c>
      <c r="I4" s="6" t="n">
        <f aca="false">SUM(B4:H4)</f>
        <v>27</v>
      </c>
    </row>
    <row r="5" customFormat="false" ht="15" hidden="false" customHeight="false" outlineLevel="0" collapsed="false">
      <c r="A5" s="6" t="s">
        <v>145</v>
      </c>
      <c r="B5" s="6" t="n">
        <f aca="false">COUNTIFS(공고목록!$B:$B,$A5,공고목록!$E:$E,B$3)</f>
        <v>1</v>
      </c>
      <c r="C5" s="6" t="n">
        <f aca="false">COUNTIFS(공고목록!$B:$B,$A5,공고목록!$E:$E,C$3)</f>
        <v>0</v>
      </c>
      <c r="D5" s="6" t="n">
        <f aca="false">COUNTIFS(공고목록!$B:$B,$A5,공고목록!$E:$E,D$3)</f>
        <v>0</v>
      </c>
      <c r="E5" s="6" t="n">
        <f aca="false">COUNTIFS(공고목록!$B:$B,$A5,공고목록!$E:$E,E$3)</f>
        <v>3</v>
      </c>
      <c r="F5" s="6" t="n">
        <f aca="false">COUNTIFS(공고목록!$B:$B,$A5,공고목록!$E:$E,F$3)</f>
        <v>0</v>
      </c>
      <c r="G5" s="6" t="n">
        <f aca="false">COUNTIFS(공고목록!$B:$B,$A5,공고목록!$E:$E,G$3)</f>
        <v>0</v>
      </c>
      <c r="H5" s="6" t="n">
        <f aca="false">COUNTIFS(공고목록!$B:$B,$A5,공고목록!$E:$E,H$3)</f>
        <v>0</v>
      </c>
      <c r="I5" s="6" t="n">
        <f aca="false">SUM(B5:H5)</f>
        <v>4</v>
      </c>
    </row>
    <row r="6" customFormat="false" ht="15" hidden="false" customHeight="false" outlineLevel="0" collapsed="false">
      <c r="A6" s="6" t="s">
        <v>160</v>
      </c>
      <c r="B6" s="6" t="n">
        <f aca="false">COUNTIFS(공고목록!$B:$B,$A6,공고목록!$E:$E,B$3)</f>
        <v>1</v>
      </c>
      <c r="C6" s="6" t="n">
        <f aca="false">COUNTIFS(공고목록!$B:$B,$A6,공고목록!$E:$E,C$3)</f>
        <v>2</v>
      </c>
      <c r="D6" s="6" t="n">
        <f aca="false">COUNTIFS(공고목록!$B:$B,$A6,공고목록!$E:$E,D$3)</f>
        <v>3</v>
      </c>
      <c r="E6" s="6" t="n">
        <f aca="false">COUNTIFS(공고목록!$B:$B,$A6,공고목록!$E:$E,E$3)</f>
        <v>1</v>
      </c>
      <c r="F6" s="6" t="n">
        <f aca="false">COUNTIFS(공고목록!$B:$B,$A6,공고목록!$E:$E,F$3)</f>
        <v>2</v>
      </c>
      <c r="G6" s="6" t="n">
        <f aca="false">COUNTIFS(공고목록!$B:$B,$A6,공고목록!$E:$E,G$3)</f>
        <v>1</v>
      </c>
      <c r="H6" s="6" t="n">
        <f aca="false">COUNTIFS(공고목록!$B:$B,$A6,공고목록!$E:$E,H$3)</f>
        <v>1</v>
      </c>
      <c r="I6" s="6" t="n">
        <f aca="false">SUM(B6:H6)</f>
        <v>11</v>
      </c>
    </row>
    <row r="7" customFormat="false" ht="15" hidden="false" customHeight="false" outlineLevel="0" collapsed="false">
      <c r="A7" s="7" t="s">
        <v>309</v>
      </c>
      <c r="B7" s="7" t="n">
        <f aca="false">SUM(B4:B6)</f>
        <v>12</v>
      </c>
      <c r="C7" s="7" t="n">
        <f aca="false">SUM(C4:C6)</f>
        <v>4</v>
      </c>
      <c r="D7" s="7" t="n">
        <f aca="false">SUM(D4:D6)</f>
        <v>6</v>
      </c>
      <c r="E7" s="7" t="n">
        <f aca="false">SUM(E4:E6)</f>
        <v>7</v>
      </c>
      <c r="F7" s="7" t="n">
        <f aca="false">SUM(F4:F6)</f>
        <v>3</v>
      </c>
      <c r="G7" s="7" t="n">
        <f aca="false">SUM(G4:G6)</f>
        <v>2</v>
      </c>
      <c r="H7" s="7" t="n">
        <f aca="false">SUM(H4:H6)</f>
        <v>8</v>
      </c>
      <c r="I7" s="7" t="n">
        <f aca="false">SUM(I4:I6)</f>
        <v>42</v>
      </c>
    </row>
    <row r="9" customFormat="false" ht="15" hidden="false" customHeight="false" outlineLevel="0" collapsed="false">
      <c r="A9" s="8" t="s">
        <v>310</v>
      </c>
    </row>
    <row r="10" customFormat="false" ht="15" hidden="false" customHeight="false" outlineLevel="0" collapsed="false">
      <c r="A10" s="9" t="s">
        <v>311</v>
      </c>
    </row>
    <row r="11" customFormat="false" ht="15" hidden="false" customHeight="false" outlineLevel="0" collapsed="false">
      <c r="A11" s="9" t="s">
        <v>312</v>
      </c>
    </row>
    <row r="12" customFormat="false" ht="15" hidden="false" customHeight="false" outlineLevel="0" collapsed="false">
      <c r="A12" s="9" t="s">
        <v>313</v>
      </c>
    </row>
    <row r="13" customFormat="false" ht="15" hidden="false" customHeight="false" outlineLevel="0" collapsed="false">
      <c r="A13" s="9" t="s">
        <v>314</v>
      </c>
    </row>
    <row r="14" customFormat="false" ht="15" hidden="false" customHeight="false" outlineLevel="0" collapsed="false">
      <c r="A14" s="9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2026-09-21T07:39:25Z</dcterms:created>
  <dc:creator>openpyxl</dc:creator>
  <dc:description/>
  <dc:language>en-US</dc:language>
  <cp:lastModifiedBy/>
  <dcterms:modified xsi:type="dcterms:W3CDTF">2026-09-21T07:39:25Z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